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8F13D89-5459-4546-A912-191130778BDE}" xr6:coauthVersionLast="47" xr6:coauthVersionMax="47" xr10:uidLastSave="{00000000-0000-0000-0000-000000000000}"/>
  <bookViews>
    <workbookView xWindow="-108" yWindow="-108" windowWidth="23256" windowHeight="13176" xr2:uid="{83905BAA-CFA8-4BE2-9CF0-5AAF89260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991" i="1" l="1"/>
  <c r="S991" i="1"/>
  <c r="R991" i="1"/>
  <c r="Q991" i="1"/>
  <c r="T990" i="1"/>
  <c r="S990" i="1"/>
  <c r="R990" i="1"/>
  <c r="Q990" i="1"/>
  <c r="T989" i="1"/>
  <c r="S989" i="1"/>
  <c r="R989" i="1"/>
  <c r="Q989" i="1"/>
  <c r="T988" i="1"/>
  <c r="S988" i="1"/>
  <c r="R988" i="1"/>
  <c r="Q988" i="1"/>
  <c r="T987" i="1"/>
  <c r="S987" i="1"/>
  <c r="R987" i="1"/>
  <c r="Q987" i="1"/>
  <c r="T986" i="1"/>
  <c r="S986" i="1"/>
  <c r="R986" i="1"/>
  <c r="Q986" i="1"/>
  <c r="T985" i="1"/>
  <c r="S985" i="1"/>
  <c r="R985" i="1"/>
  <c r="Q985" i="1"/>
  <c r="T984" i="1"/>
  <c r="S984" i="1"/>
  <c r="R984" i="1"/>
  <c r="Q984" i="1"/>
  <c r="T983" i="1"/>
  <c r="S983" i="1"/>
  <c r="R983" i="1"/>
  <c r="Q983" i="1"/>
  <c r="T982" i="1"/>
  <c r="S982" i="1"/>
  <c r="R982" i="1"/>
  <c r="Q982" i="1"/>
  <c r="T981" i="1"/>
  <c r="S981" i="1"/>
  <c r="R981" i="1"/>
  <c r="Q981" i="1"/>
  <c r="T980" i="1"/>
  <c r="S980" i="1"/>
  <c r="R980" i="1"/>
  <c r="Q980" i="1"/>
  <c r="T979" i="1"/>
  <c r="S979" i="1"/>
  <c r="R979" i="1"/>
  <c r="Q979" i="1"/>
  <c r="T978" i="1"/>
  <c r="S978" i="1"/>
  <c r="R978" i="1"/>
  <c r="Q978" i="1"/>
  <c r="T977" i="1"/>
  <c r="S977" i="1"/>
  <c r="R977" i="1"/>
  <c r="Q977" i="1"/>
  <c r="T976" i="1"/>
  <c r="S976" i="1"/>
  <c r="R976" i="1"/>
  <c r="Q976" i="1"/>
  <c r="T975" i="1"/>
  <c r="S975" i="1"/>
  <c r="R975" i="1"/>
  <c r="Q975" i="1"/>
  <c r="T974" i="1"/>
  <c r="S974" i="1"/>
  <c r="R974" i="1"/>
  <c r="Q974" i="1"/>
  <c r="T973" i="1"/>
  <c r="S973" i="1"/>
  <c r="R973" i="1"/>
  <c r="Q973" i="1"/>
  <c r="T972" i="1"/>
  <c r="S972" i="1"/>
  <c r="R972" i="1"/>
  <c r="Q972" i="1"/>
  <c r="T971" i="1"/>
  <c r="S971" i="1"/>
  <c r="R971" i="1"/>
  <c r="Q971" i="1"/>
  <c r="T970" i="1"/>
  <c r="S970" i="1"/>
  <c r="R970" i="1"/>
  <c r="Q970" i="1"/>
  <c r="T969" i="1"/>
  <c r="S969" i="1"/>
  <c r="R969" i="1"/>
  <c r="Q969" i="1"/>
  <c r="T968" i="1"/>
  <c r="S968" i="1"/>
  <c r="R968" i="1"/>
  <c r="Q968" i="1"/>
  <c r="T967" i="1"/>
  <c r="S967" i="1"/>
  <c r="R967" i="1"/>
  <c r="Q967" i="1"/>
  <c r="T966" i="1"/>
  <c r="S966" i="1"/>
  <c r="R966" i="1"/>
  <c r="Q966" i="1"/>
  <c r="T965" i="1"/>
  <c r="S965" i="1"/>
  <c r="R965" i="1"/>
  <c r="Q965" i="1"/>
  <c r="T964" i="1"/>
  <c r="S964" i="1"/>
  <c r="R964" i="1"/>
  <c r="Q964" i="1"/>
  <c r="T963" i="1"/>
  <c r="S963" i="1"/>
  <c r="R963" i="1"/>
  <c r="Q963" i="1"/>
  <c r="T962" i="1"/>
  <c r="S962" i="1"/>
  <c r="R962" i="1"/>
  <c r="Q962" i="1"/>
  <c r="T961" i="1"/>
  <c r="S961" i="1"/>
  <c r="R961" i="1"/>
  <c r="Q961" i="1"/>
  <c r="T960" i="1"/>
  <c r="S960" i="1"/>
  <c r="R960" i="1"/>
  <c r="Q960" i="1"/>
  <c r="T959" i="1"/>
  <c r="S959" i="1"/>
  <c r="R959" i="1"/>
  <c r="Q959" i="1"/>
  <c r="T958" i="1"/>
  <c r="S958" i="1"/>
  <c r="R958" i="1"/>
  <c r="Q958" i="1"/>
  <c r="T957" i="1"/>
  <c r="S957" i="1"/>
  <c r="R957" i="1"/>
  <c r="Q957" i="1"/>
  <c r="T956" i="1"/>
  <c r="S956" i="1"/>
  <c r="R956" i="1"/>
  <c r="Q956" i="1"/>
  <c r="T955" i="1"/>
  <c r="S955" i="1"/>
  <c r="R955" i="1"/>
  <c r="Q955" i="1"/>
  <c r="T954" i="1"/>
  <c r="S954" i="1"/>
  <c r="R954" i="1"/>
  <c r="Q954" i="1"/>
  <c r="T953" i="1"/>
  <c r="S953" i="1"/>
  <c r="R953" i="1"/>
  <c r="Q953" i="1"/>
  <c r="T952" i="1"/>
  <c r="S952" i="1"/>
  <c r="R952" i="1"/>
  <c r="Q952" i="1"/>
  <c r="T951" i="1"/>
  <c r="S951" i="1"/>
  <c r="R951" i="1"/>
  <c r="Q951" i="1"/>
  <c r="T950" i="1"/>
  <c r="S950" i="1"/>
  <c r="R950" i="1"/>
  <c r="Q950" i="1"/>
  <c r="T949" i="1"/>
  <c r="S949" i="1"/>
  <c r="R949" i="1"/>
  <c r="Q949" i="1"/>
  <c r="T948" i="1"/>
  <c r="S948" i="1"/>
  <c r="R948" i="1"/>
  <c r="Q948" i="1"/>
  <c r="T947" i="1"/>
  <c r="S947" i="1"/>
  <c r="R947" i="1"/>
  <c r="Q947" i="1"/>
  <c r="T946" i="1"/>
  <c r="S946" i="1"/>
  <c r="R946" i="1"/>
  <c r="Q946" i="1"/>
  <c r="T945" i="1"/>
  <c r="S945" i="1"/>
  <c r="R945" i="1"/>
  <c r="Q945" i="1"/>
  <c r="T944" i="1"/>
  <c r="S944" i="1"/>
  <c r="R944" i="1"/>
  <c r="Q944" i="1"/>
  <c r="T943" i="1"/>
  <c r="S943" i="1"/>
  <c r="R943" i="1"/>
  <c r="Q943" i="1"/>
  <c r="T942" i="1"/>
  <c r="S942" i="1"/>
  <c r="R942" i="1"/>
  <c r="Q942" i="1"/>
  <c r="T941" i="1"/>
  <c r="S941" i="1"/>
  <c r="R941" i="1"/>
  <c r="Q941" i="1"/>
  <c r="T940" i="1"/>
  <c r="S940" i="1"/>
  <c r="R940" i="1"/>
  <c r="Q940" i="1"/>
  <c r="T939" i="1"/>
  <c r="S939" i="1"/>
  <c r="R939" i="1"/>
  <c r="Q939" i="1"/>
  <c r="T938" i="1"/>
  <c r="S938" i="1"/>
  <c r="R938" i="1"/>
  <c r="Q938" i="1"/>
  <c r="T937" i="1"/>
  <c r="S937" i="1"/>
  <c r="R937" i="1"/>
  <c r="Q937" i="1"/>
  <c r="T936" i="1"/>
  <c r="S936" i="1"/>
  <c r="R936" i="1"/>
  <c r="Q936" i="1"/>
  <c r="T935" i="1"/>
  <c r="S935" i="1"/>
  <c r="R935" i="1"/>
  <c r="Q935" i="1"/>
  <c r="T934" i="1"/>
  <c r="S934" i="1"/>
  <c r="R934" i="1"/>
  <c r="Q934" i="1"/>
  <c r="T933" i="1"/>
  <c r="S933" i="1"/>
  <c r="R933" i="1"/>
  <c r="Q933" i="1"/>
  <c r="T932" i="1"/>
  <c r="S932" i="1"/>
  <c r="R932" i="1"/>
  <c r="Q932" i="1"/>
  <c r="T931" i="1"/>
  <c r="S931" i="1"/>
  <c r="R931" i="1"/>
  <c r="Q931" i="1"/>
  <c r="T930" i="1"/>
  <c r="S930" i="1"/>
  <c r="R930" i="1"/>
  <c r="Q930" i="1"/>
  <c r="T929" i="1"/>
  <c r="S929" i="1"/>
  <c r="R929" i="1"/>
  <c r="Q929" i="1"/>
  <c r="T928" i="1"/>
  <c r="S928" i="1"/>
  <c r="R928" i="1"/>
  <c r="Q928" i="1"/>
  <c r="T927" i="1"/>
  <c r="S927" i="1"/>
  <c r="R927" i="1"/>
  <c r="Q927" i="1"/>
  <c r="T926" i="1"/>
  <c r="S926" i="1"/>
  <c r="R926" i="1"/>
  <c r="Q926" i="1"/>
  <c r="T925" i="1"/>
  <c r="S925" i="1"/>
  <c r="R925" i="1"/>
  <c r="Q925" i="1"/>
  <c r="T924" i="1"/>
  <c r="S924" i="1"/>
  <c r="R924" i="1"/>
  <c r="Q924" i="1"/>
  <c r="T923" i="1"/>
  <c r="S923" i="1"/>
  <c r="R923" i="1"/>
  <c r="Q923" i="1"/>
  <c r="T922" i="1"/>
  <c r="S922" i="1"/>
  <c r="R922" i="1"/>
  <c r="Q922" i="1"/>
  <c r="T921" i="1"/>
  <c r="S921" i="1"/>
  <c r="R921" i="1"/>
  <c r="Q921" i="1"/>
  <c r="T920" i="1"/>
  <c r="S920" i="1"/>
  <c r="R920" i="1"/>
  <c r="Q920" i="1"/>
  <c r="T919" i="1"/>
  <c r="S919" i="1"/>
  <c r="R919" i="1"/>
  <c r="Q919" i="1"/>
  <c r="T918" i="1"/>
  <c r="S918" i="1"/>
  <c r="R918" i="1"/>
  <c r="Q918" i="1"/>
  <c r="T917" i="1"/>
  <c r="S917" i="1"/>
  <c r="R917" i="1"/>
  <c r="Q917" i="1"/>
  <c r="T916" i="1"/>
  <c r="S916" i="1"/>
  <c r="R916" i="1"/>
  <c r="Q916" i="1"/>
  <c r="T915" i="1"/>
  <c r="S915" i="1"/>
  <c r="R915" i="1"/>
  <c r="Q915" i="1"/>
  <c r="T914" i="1"/>
  <c r="S914" i="1"/>
  <c r="R914" i="1"/>
  <c r="Q914" i="1"/>
  <c r="T913" i="1"/>
  <c r="S913" i="1"/>
  <c r="R913" i="1"/>
  <c r="Q913" i="1"/>
  <c r="T912" i="1"/>
  <c r="S912" i="1"/>
  <c r="R912" i="1"/>
  <c r="Q912" i="1"/>
  <c r="T911" i="1"/>
  <c r="S911" i="1"/>
  <c r="R911" i="1"/>
  <c r="Q911" i="1"/>
  <c r="T910" i="1"/>
  <c r="S910" i="1"/>
  <c r="R910" i="1"/>
  <c r="Q910" i="1"/>
  <c r="T909" i="1"/>
  <c r="S909" i="1"/>
  <c r="R909" i="1"/>
  <c r="Q909" i="1"/>
  <c r="T908" i="1"/>
  <c r="S908" i="1"/>
  <c r="R908" i="1"/>
  <c r="Q908" i="1"/>
  <c r="T907" i="1"/>
  <c r="S907" i="1"/>
  <c r="R907" i="1"/>
  <c r="Q907" i="1"/>
  <c r="T906" i="1"/>
  <c r="S906" i="1"/>
  <c r="R906" i="1"/>
  <c r="Q906" i="1"/>
  <c r="T905" i="1"/>
  <c r="S905" i="1"/>
  <c r="R905" i="1"/>
  <c r="Q905" i="1"/>
  <c r="T904" i="1"/>
  <c r="S904" i="1"/>
  <c r="R904" i="1"/>
  <c r="Q904" i="1"/>
  <c r="T903" i="1"/>
  <c r="S903" i="1"/>
  <c r="R903" i="1"/>
  <c r="Q903" i="1"/>
  <c r="T902" i="1"/>
  <c r="S902" i="1"/>
  <c r="R902" i="1"/>
  <c r="Q902" i="1"/>
  <c r="T901" i="1"/>
  <c r="S901" i="1"/>
  <c r="R901" i="1"/>
  <c r="Q901" i="1"/>
  <c r="T900" i="1"/>
  <c r="S900" i="1"/>
  <c r="R900" i="1"/>
  <c r="Q900" i="1"/>
  <c r="T899" i="1"/>
  <c r="S899" i="1"/>
  <c r="R899" i="1"/>
  <c r="Q899" i="1"/>
  <c r="T898" i="1"/>
  <c r="S898" i="1"/>
  <c r="R898" i="1"/>
  <c r="Q898" i="1"/>
  <c r="T897" i="1"/>
  <c r="S897" i="1"/>
  <c r="R897" i="1"/>
  <c r="Q897" i="1"/>
  <c r="T896" i="1"/>
  <c r="S896" i="1"/>
  <c r="R896" i="1"/>
  <c r="Q896" i="1"/>
  <c r="T895" i="1"/>
  <c r="S895" i="1"/>
  <c r="R895" i="1"/>
  <c r="Q895" i="1"/>
  <c r="T894" i="1"/>
  <c r="S894" i="1"/>
  <c r="R894" i="1"/>
  <c r="Q894" i="1"/>
  <c r="T893" i="1"/>
  <c r="S893" i="1"/>
  <c r="R893" i="1"/>
  <c r="Q893" i="1"/>
  <c r="T892" i="1"/>
  <c r="S892" i="1"/>
  <c r="R892" i="1"/>
  <c r="Q892" i="1"/>
  <c r="T891" i="1"/>
  <c r="S891" i="1"/>
  <c r="R891" i="1"/>
  <c r="Q891" i="1"/>
  <c r="T890" i="1"/>
  <c r="S890" i="1"/>
  <c r="R890" i="1"/>
  <c r="Q890" i="1"/>
  <c r="T889" i="1"/>
  <c r="S889" i="1"/>
  <c r="R889" i="1"/>
  <c r="Q889" i="1"/>
  <c r="T888" i="1"/>
  <c r="S888" i="1"/>
  <c r="R888" i="1"/>
  <c r="Q888" i="1"/>
  <c r="T887" i="1"/>
  <c r="S887" i="1"/>
  <c r="R887" i="1"/>
  <c r="Q887" i="1"/>
  <c r="T886" i="1"/>
  <c r="S886" i="1"/>
  <c r="R886" i="1"/>
  <c r="Q886" i="1"/>
  <c r="T885" i="1"/>
  <c r="S885" i="1"/>
  <c r="R885" i="1"/>
  <c r="Q885" i="1"/>
  <c r="T884" i="1"/>
  <c r="S884" i="1"/>
  <c r="R884" i="1"/>
  <c r="Q884" i="1"/>
  <c r="T883" i="1"/>
  <c r="S883" i="1"/>
  <c r="R883" i="1"/>
  <c r="Q883" i="1"/>
  <c r="T882" i="1"/>
  <c r="S882" i="1"/>
  <c r="R882" i="1"/>
  <c r="Q882" i="1"/>
  <c r="T881" i="1"/>
  <c r="S881" i="1"/>
  <c r="R881" i="1"/>
  <c r="Q881" i="1"/>
  <c r="T880" i="1"/>
  <c r="S880" i="1"/>
  <c r="R880" i="1"/>
  <c r="Q880" i="1"/>
  <c r="T879" i="1"/>
  <c r="S879" i="1"/>
  <c r="R879" i="1"/>
  <c r="Q879" i="1"/>
  <c r="T878" i="1"/>
  <c r="S878" i="1"/>
  <c r="R878" i="1"/>
  <c r="Q878" i="1"/>
  <c r="T877" i="1"/>
  <c r="S877" i="1"/>
  <c r="R877" i="1"/>
  <c r="Q877" i="1"/>
  <c r="T876" i="1"/>
  <c r="S876" i="1"/>
  <c r="R876" i="1"/>
  <c r="Q876" i="1"/>
  <c r="T875" i="1"/>
  <c r="S875" i="1"/>
  <c r="R875" i="1"/>
  <c r="Q875" i="1"/>
  <c r="T874" i="1"/>
  <c r="S874" i="1"/>
  <c r="R874" i="1"/>
  <c r="Q874" i="1"/>
  <c r="T873" i="1"/>
  <c r="S873" i="1"/>
  <c r="R873" i="1"/>
  <c r="Q873" i="1"/>
  <c r="T872" i="1"/>
  <c r="S872" i="1"/>
  <c r="R872" i="1"/>
  <c r="Q872" i="1"/>
  <c r="T871" i="1"/>
  <c r="S871" i="1"/>
  <c r="R871" i="1"/>
  <c r="Q871" i="1"/>
  <c r="T870" i="1"/>
  <c r="S870" i="1"/>
  <c r="R870" i="1"/>
  <c r="Q870" i="1"/>
  <c r="T869" i="1"/>
  <c r="S869" i="1"/>
  <c r="R869" i="1"/>
  <c r="Q869" i="1"/>
  <c r="T868" i="1"/>
  <c r="S868" i="1"/>
  <c r="R868" i="1"/>
  <c r="Q868" i="1"/>
  <c r="T867" i="1"/>
  <c r="S867" i="1"/>
  <c r="R867" i="1"/>
  <c r="Q867" i="1"/>
  <c r="T866" i="1"/>
  <c r="S866" i="1"/>
  <c r="R866" i="1"/>
  <c r="Q866" i="1"/>
  <c r="T865" i="1"/>
  <c r="S865" i="1"/>
  <c r="R865" i="1"/>
  <c r="Q865" i="1"/>
  <c r="T864" i="1"/>
  <c r="S864" i="1"/>
  <c r="R864" i="1"/>
  <c r="Q864" i="1"/>
  <c r="T863" i="1"/>
  <c r="S863" i="1"/>
  <c r="R863" i="1"/>
  <c r="Q863" i="1"/>
  <c r="T862" i="1"/>
  <c r="S862" i="1"/>
  <c r="R862" i="1"/>
  <c r="Q862" i="1"/>
  <c r="T861" i="1"/>
  <c r="S861" i="1"/>
  <c r="R861" i="1"/>
  <c r="Q861" i="1"/>
  <c r="T860" i="1"/>
  <c r="S860" i="1"/>
  <c r="R860" i="1"/>
  <c r="Q860" i="1"/>
  <c r="T859" i="1"/>
  <c r="S859" i="1"/>
  <c r="R859" i="1"/>
  <c r="Q859" i="1"/>
  <c r="T858" i="1"/>
  <c r="S858" i="1"/>
  <c r="R858" i="1"/>
  <c r="Q858" i="1"/>
  <c r="T857" i="1"/>
  <c r="S857" i="1"/>
  <c r="R857" i="1"/>
  <c r="Q857" i="1"/>
  <c r="T856" i="1"/>
  <c r="S856" i="1"/>
  <c r="R856" i="1"/>
  <c r="Q856" i="1"/>
  <c r="T855" i="1"/>
  <c r="S855" i="1"/>
  <c r="R855" i="1"/>
  <c r="Q855" i="1"/>
  <c r="T854" i="1"/>
  <c r="S854" i="1"/>
  <c r="R854" i="1"/>
  <c r="Q854" i="1"/>
  <c r="T853" i="1"/>
  <c r="S853" i="1"/>
  <c r="R853" i="1"/>
  <c r="Q853" i="1"/>
  <c r="T852" i="1"/>
  <c r="S852" i="1"/>
  <c r="R852" i="1"/>
  <c r="Q852" i="1"/>
  <c r="T851" i="1"/>
  <c r="S851" i="1"/>
  <c r="R851" i="1"/>
  <c r="Q851" i="1"/>
  <c r="T850" i="1"/>
  <c r="S850" i="1"/>
  <c r="R850" i="1"/>
  <c r="Q850" i="1"/>
  <c r="T849" i="1"/>
  <c r="S849" i="1"/>
  <c r="R849" i="1"/>
  <c r="Q849" i="1"/>
  <c r="T848" i="1"/>
  <c r="S848" i="1"/>
  <c r="R848" i="1"/>
  <c r="Q848" i="1"/>
  <c r="T847" i="1"/>
  <c r="S847" i="1"/>
  <c r="R847" i="1"/>
  <c r="Q847" i="1"/>
  <c r="T846" i="1"/>
  <c r="S846" i="1"/>
  <c r="R846" i="1"/>
  <c r="Q846" i="1"/>
  <c r="T845" i="1"/>
  <c r="S845" i="1"/>
  <c r="R845" i="1"/>
  <c r="Q845" i="1"/>
  <c r="T844" i="1"/>
  <c r="S844" i="1"/>
  <c r="R844" i="1"/>
  <c r="Q844" i="1"/>
  <c r="T843" i="1"/>
  <c r="S843" i="1"/>
  <c r="R843" i="1"/>
  <c r="Q843" i="1"/>
  <c r="T842" i="1"/>
  <c r="S842" i="1"/>
  <c r="R842" i="1"/>
  <c r="Q842" i="1"/>
  <c r="T841" i="1"/>
  <c r="S841" i="1"/>
  <c r="R841" i="1"/>
  <c r="Q841" i="1"/>
  <c r="T840" i="1"/>
  <c r="S840" i="1"/>
  <c r="R840" i="1"/>
  <c r="Q840" i="1"/>
  <c r="T839" i="1"/>
  <c r="S839" i="1"/>
  <c r="R839" i="1"/>
  <c r="Q839" i="1"/>
  <c r="T838" i="1"/>
  <c r="S838" i="1"/>
  <c r="R838" i="1"/>
  <c r="Q838" i="1"/>
  <c r="T837" i="1"/>
  <c r="S837" i="1"/>
  <c r="R837" i="1"/>
  <c r="Q837" i="1"/>
  <c r="T836" i="1"/>
  <c r="S836" i="1"/>
  <c r="R836" i="1"/>
  <c r="Q836" i="1"/>
  <c r="T835" i="1"/>
  <c r="S835" i="1"/>
  <c r="R835" i="1"/>
  <c r="Q835" i="1"/>
  <c r="T834" i="1"/>
  <c r="S834" i="1"/>
  <c r="R834" i="1"/>
  <c r="Q834" i="1"/>
  <c r="T833" i="1"/>
  <c r="S833" i="1"/>
  <c r="R833" i="1"/>
  <c r="Q833" i="1"/>
  <c r="T832" i="1"/>
  <c r="S832" i="1"/>
  <c r="R832" i="1"/>
  <c r="Q832" i="1"/>
  <c r="T831" i="1"/>
  <c r="S831" i="1"/>
  <c r="R831" i="1"/>
  <c r="Q831" i="1"/>
  <c r="T830" i="1"/>
  <c r="S830" i="1"/>
  <c r="R830" i="1"/>
  <c r="Q830" i="1"/>
  <c r="T829" i="1"/>
  <c r="S829" i="1"/>
  <c r="R829" i="1"/>
  <c r="Q829" i="1"/>
  <c r="T828" i="1"/>
  <c r="S828" i="1"/>
  <c r="R828" i="1"/>
  <c r="Q828" i="1"/>
  <c r="T827" i="1"/>
  <c r="S827" i="1"/>
  <c r="R827" i="1"/>
  <c r="Q827" i="1"/>
  <c r="T826" i="1"/>
  <c r="S826" i="1"/>
  <c r="R826" i="1"/>
  <c r="Q826" i="1"/>
  <c r="T825" i="1"/>
  <c r="S825" i="1"/>
  <c r="R825" i="1"/>
  <c r="Q825" i="1"/>
  <c r="T824" i="1"/>
  <c r="S824" i="1"/>
  <c r="R824" i="1"/>
  <c r="Q824" i="1"/>
  <c r="T823" i="1"/>
  <c r="S823" i="1"/>
  <c r="R823" i="1"/>
  <c r="Q823" i="1"/>
  <c r="T822" i="1"/>
  <c r="S822" i="1"/>
  <c r="R822" i="1"/>
  <c r="Q822" i="1"/>
  <c r="T821" i="1"/>
  <c r="S821" i="1"/>
  <c r="R821" i="1"/>
  <c r="Q821" i="1"/>
  <c r="T820" i="1"/>
  <c r="S820" i="1"/>
  <c r="R820" i="1"/>
  <c r="Q820" i="1"/>
  <c r="T819" i="1"/>
  <c r="S819" i="1"/>
  <c r="R819" i="1"/>
  <c r="Q819" i="1"/>
  <c r="T818" i="1"/>
  <c r="S818" i="1"/>
  <c r="R818" i="1"/>
  <c r="Q818" i="1"/>
  <c r="T817" i="1"/>
  <c r="S817" i="1"/>
  <c r="R817" i="1"/>
  <c r="Q817" i="1"/>
  <c r="T816" i="1"/>
  <c r="S816" i="1"/>
  <c r="R816" i="1"/>
  <c r="Q816" i="1"/>
  <c r="T815" i="1"/>
  <c r="S815" i="1"/>
  <c r="R815" i="1"/>
  <c r="Q815" i="1"/>
  <c r="T814" i="1"/>
  <c r="S814" i="1"/>
  <c r="R814" i="1"/>
  <c r="Q814" i="1"/>
  <c r="T813" i="1"/>
  <c r="S813" i="1"/>
  <c r="R813" i="1"/>
  <c r="Q813" i="1"/>
  <c r="T812" i="1"/>
  <c r="S812" i="1"/>
  <c r="R812" i="1"/>
  <c r="Q812" i="1"/>
  <c r="T811" i="1"/>
  <c r="S811" i="1"/>
  <c r="R811" i="1"/>
  <c r="Q811" i="1"/>
  <c r="T810" i="1"/>
  <c r="S810" i="1"/>
  <c r="R810" i="1"/>
  <c r="Q810" i="1"/>
  <c r="T809" i="1"/>
  <c r="S809" i="1"/>
  <c r="R809" i="1"/>
  <c r="Q809" i="1"/>
  <c r="T808" i="1"/>
  <c r="S808" i="1"/>
  <c r="R808" i="1"/>
  <c r="Q808" i="1"/>
  <c r="T807" i="1"/>
  <c r="S807" i="1"/>
  <c r="R807" i="1"/>
  <c r="Q807" i="1"/>
  <c r="T806" i="1"/>
  <c r="S806" i="1"/>
  <c r="R806" i="1"/>
  <c r="Q806" i="1"/>
  <c r="T805" i="1"/>
  <c r="S805" i="1"/>
  <c r="R805" i="1"/>
  <c r="Q805" i="1"/>
  <c r="T804" i="1"/>
  <c r="S804" i="1"/>
  <c r="R804" i="1"/>
  <c r="Q804" i="1"/>
  <c r="T803" i="1"/>
  <c r="S803" i="1"/>
  <c r="R803" i="1"/>
  <c r="Q803" i="1"/>
  <c r="T802" i="1"/>
  <c r="S802" i="1"/>
  <c r="R802" i="1"/>
  <c r="Q802" i="1"/>
  <c r="T801" i="1"/>
  <c r="S801" i="1"/>
  <c r="R801" i="1"/>
  <c r="Q801" i="1"/>
  <c r="T800" i="1"/>
  <c r="S800" i="1"/>
  <c r="R800" i="1"/>
  <c r="Q800" i="1"/>
  <c r="T799" i="1"/>
  <c r="S799" i="1"/>
  <c r="R799" i="1"/>
  <c r="Q799" i="1"/>
  <c r="T798" i="1"/>
  <c r="S798" i="1"/>
  <c r="R798" i="1"/>
  <c r="Q798" i="1"/>
  <c r="T797" i="1"/>
  <c r="S797" i="1"/>
  <c r="R797" i="1"/>
  <c r="Q797" i="1"/>
  <c r="T796" i="1"/>
  <c r="S796" i="1"/>
  <c r="R796" i="1"/>
  <c r="Q796" i="1"/>
  <c r="T795" i="1"/>
  <c r="S795" i="1"/>
  <c r="R795" i="1"/>
  <c r="Q795" i="1"/>
  <c r="T794" i="1"/>
  <c r="S794" i="1"/>
  <c r="R794" i="1"/>
  <c r="Q794" i="1"/>
  <c r="T793" i="1"/>
  <c r="S793" i="1"/>
  <c r="R793" i="1"/>
  <c r="Q793" i="1"/>
  <c r="T792" i="1"/>
  <c r="S792" i="1"/>
  <c r="R792" i="1"/>
  <c r="Q792" i="1"/>
  <c r="T791" i="1"/>
  <c r="S791" i="1"/>
  <c r="R791" i="1"/>
  <c r="Q791" i="1"/>
  <c r="T790" i="1"/>
  <c r="S790" i="1"/>
  <c r="R790" i="1"/>
  <c r="Q790" i="1"/>
  <c r="T789" i="1"/>
  <c r="S789" i="1"/>
  <c r="R789" i="1"/>
  <c r="Q789" i="1"/>
  <c r="T788" i="1"/>
  <c r="S788" i="1"/>
  <c r="R788" i="1"/>
  <c r="Q788" i="1"/>
  <c r="T787" i="1"/>
  <c r="S787" i="1"/>
  <c r="R787" i="1"/>
  <c r="Q787" i="1"/>
  <c r="T786" i="1"/>
  <c r="S786" i="1"/>
  <c r="R786" i="1"/>
  <c r="Q786" i="1"/>
  <c r="T785" i="1"/>
  <c r="S785" i="1"/>
  <c r="R785" i="1"/>
  <c r="Q785" i="1"/>
  <c r="T784" i="1"/>
  <c r="S784" i="1"/>
  <c r="R784" i="1"/>
  <c r="Q784" i="1"/>
  <c r="T783" i="1"/>
  <c r="S783" i="1"/>
  <c r="R783" i="1"/>
  <c r="Q783" i="1"/>
  <c r="T782" i="1"/>
  <c r="S782" i="1"/>
  <c r="R782" i="1"/>
  <c r="Q782" i="1"/>
  <c r="T781" i="1"/>
  <c r="S781" i="1"/>
  <c r="R781" i="1"/>
  <c r="Q781" i="1"/>
  <c r="T780" i="1"/>
  <c r="S780" i="1"/>
  <c r="R780" i="1"/>
  <c r="Q780" i="1"/>
  <c r="T779" i="1"/>
  <c r="S779" i="1"/>
  <c r="R779" i="1"/>
  <c r="Q779" i="1"/>
  <c r="T778" i="1"/>
  <c r="S778" i="1"/>
  <c r="R778" i="1"/>
  <c r="Q778" i="1"/>
  <c r="T777" i="1"/>
  <c r="S777" i="1"/>
  <c r="R777" i="1"/>
  <c r="Q777" i="1"/>
  <c r="T776" i="1"/>
  <c r="S776" i="1"/>
  <c r="R776" i="1"/>
  <c r="Q776" i="1"/>
  <c r="T775" i="1"/>
  <c r="S775" i="1"/>
  <c r="R775" i="1"/>
  <c r="Q775" i="1"/>
  <c r="T774" i="1"/>
  <c r="S774" i="1"/>
  <c r="R774" i="1"/>
  <c r="Q774" i="1"/>
  <c r="T773" i="1"/>
  <c r="S773" i="1"/>
  <c r="R773" i="1"/>
  <c r="Q773" i="1"/>
  <c r="T772" i="1"/>
  <c r="S772" i="1"/>
  <c r="R772" i="1"/>
  <c r="Q772" i="1"/>
  <c r="T771" i="1"/>
  <c r="S771" i="1"/>
  <c r="R771" i="1"/>
  <c r="Q771" i="1"/>
  <c r="T770" i="1"/>
  <c r="S770" i="1"/>
  <c r="R770" i="1"/>
  <c r="Q770" i="1"/>
  <c r="T769" i="1"/>
  <c r="S769" i="1"/>
  <c r="R769" i="1"/>
  <c r="Q769" i="1"/>
  <c r="T768" i="1"/>
  <c r="S768" i="1"/>
  <c r="R768" i="1"/>
  <c r="Q768" i="1"/>
  <c r="T767" i="1"/>
  <c r="S767" i="1"/>
  <c r="R767" i="1"/>
  <c r="Q767" i="1"/>
  <c r="T766" i="1"/>
  <c r="S766" i="1"/>
  <c r="R766" i="1"/>
  <c r="Q766" i="1"/>
  <c r="T765" i="1"/>
  <c r="S765" i="1"/>
  <c r="R765" i="1"/>
  <c r="Q765" i="1"/>
  <c r="T764" i="1"/>
  <c r="S764" i="1"/>
  <c r="R764" i="1"/>
  <c r="Q764" i="1"/>
  <c r="T763" i="1"/>
  <c r="S763" i="1"/>
  <c r="R763" i="1"/>
  <c r="Q763" i="1"/>
  <c r="T762" i="1"/>
  <c r="S762" i="1"/>
  <c r="R762" i="1"/>
  <c r="Q762" i="1"/>
  <c r="T761" i="1"/>
  <c r="S761" i="1"/>
  <c r="R761" i="1"/>
  <c r="Q761" i="1"/>
  <c r="T760" i="1"/>
  <c r="S760" i="1"/>
  <c r="R760" i="1"/>
  <c r="Q760" i="1"/>
  <c r="T759" i="1"/>
  <c r="S759" i="1"/>
  <c r="R759" i="1"/>
  <c r="Q759" i="1"/>
  <c r="T758" i="1"/>
  <c r="S758" i="1"/>
  <c r="R758" i="1"/>
  <c r="Q758" i="1"/>
  <c r="T757" i="1"/>
  <c r="S757" i="1"/>
  <c r="R757" i="1"/>
  <c r="Q757" i="1"/>
  <c r="T756" i="1"/>
  <c r="S756" i="1"/>
  <c r="R756" i="1"/>
  <c r="Q756" i="1"/>
  <c r="T755" i="1"/>
  <c r="S755" i="1"/>
  <c r="R755" i="1"/>
  <c r="Q755" i="1"/>
  <c r="T754" i="1"/>
  <c r="S754" i="1"/>
  <c r="R754" i="1"/>
  <c r="Q754" i="1"/>
  <c r="T753" i="1"/>
  <c r="S753" i="1"/>
  <c r="R753" i="1"/>
  <c r="Q753" i="1"/>
  <c r="T752" i="1"/>
  <c r="S752" i="1"/>
  <c r="R752" i="1"/>
  <c r="Q752" i="1"/>
  <c r="T751" i="1"/>
  <c r="S751" i="1"/>
  <c r="R751" i="1"/>
  <c r="Q751" i="1"/>
  <c r="T750" i="1"/>
  <c r="S750" i="1"/>
  <c r="R750" i="1"/>
  <c r="Q750" i="1"/>
  <c r="T749" i="1"/>
  <c r="S749" i="1"/>
  <c r="R749" i="1"/>
  <c r="Q749" i="1"/>
  <c r="T748" i="1"/>
  <c r="S748" i="1"/>
  <c r="R748" i="1"/>
  <c r="Q748" i="1"/>
  <c r="T747" i="1"/>
  <c r="S747" i="1"/>
  <c r="R747" i="1"/>
  <c r="Q747" i="1"/>
  <c r="T746" i="1"/>
  <c r="S746" i="1"/>
  <c r="R746" i="1"/>
  <c r="Q746" i="1"/>
  <c r="T745" i="1"/>
  <c r="S745" i="1"/>
  <c r="R745" i="1"/>
  <c r="Q745" i="1"/>
  <c r="T744" i="1"/>
  <c r="S744" i="1"/>
  <c r="R744" i="1"/>
  <c r="Q744" i="1"/>
  <c r="T743" i="1"/>
  <c r="S743" i="1"/>
  <c r="R743" i="1"/>
  <c r="Q743" i="1"/>
  <c r="T742" i="1"/>
  <c r="S742" i="1"/>
  <c r="R742" i="1"/>
  <c r="Q742" i="1"/>
  <c r="T741" i="1"/>
  <c r="S741" i="1"/>
  <c r="R741" i="1"/>
  <c r="Q741" i="1"/>
  <c r="T740" i="1"/>
  <c r="S740" i="1"/>
  <c r="R740" i="1"/>
  <c r="Q740" i="1"/>
  <c r="T739" i="1"/>
  <c r="S739" i="1"/>
  <c r="R739" i="1"/>
  <c r="Q739" i="1"/>
  <c r="T738" i="1"/>
  <c r="S738" i="1"/>
  <c r="R738" i="1"/>
  <c r="Q738" i="1"/>
  <c r="T737" i="1"/>
  <c r="S737" i="1"/>
  <c r="R737" i="1"/>
  <c r="Q737" i="1"/>
  <c r="T736" i="1"/>
  <c r="S736" i="1"/>
  <c r="R736" i="1"/>
  <c r="Q736" i="1"/>
  <c r="T735" i="1"/>
  <c r="S735" i="1"/>
  <c r="R735" i="1"/>
  <c r="Q735" i="1"/>
  <c r="T734" i="1"/>
  <c r="S734" i="1"/>
  <c r="R734" i="1"/>
  <c r="Q734" i="1"/>
  <c r="T733" i="1"/>
  <c r="S733" i="1"/>
  <c r="R733" i="1"/>
  <c r="Q733" i="1"/>
  <c r="T732" i="1"/>
  <c r="S732" i="1"/>
  <c r="R732" i="1"/>
  <c r="Q732" i="1"/>
  <c r="T731" i="1"/>
  <c r="S731" i="1"/>
  <c r="R731" i="1"/>
  <c r="Q731" i="1"/>
  <c r="T730" i="1"/>
  <c r="S730" i="1"/>
  <c r="R730" i="1"/>
  <c r="Q730" i="1"/>
  <c r="T729" i="1"/>
  <c r="S729" i="1"/>
  <c r="R729" i="1"/>
  <c r="Q729" i="1"/>
  <c r="T728" i="1"/>
  <c r="S728" i="1"/>
  <c r="R728" i="1"/>
  <c r="Q728" i="1"/>
  <c r="T727" i="1"/>
  <c r="S727" i="1"/>
  <c r="R727" i="1"/>
  <c r="Q727" i="1"/>
  <c r="T726" i="1"/>
  <c r="S726" i="1"/>
  <c r="R726" i="1"/>
  <c r="Q726" i="1"/>
  <c r="T725" i="1"/>
  <c r="S725" i="1"/>
  <c r="R725" i="1"/>
  <c r="Q725" i="1"/>
  <c r="T724" i="1"/>
  <c r="S724" i="1"/>
  <c r="R724" i="1"/>
  <c r="Q724" i="1"/>
  <c r="T723" i="1"/>
  <c r="S723" i="1"/>
  <c r="R723" i="1"/>
  <c r="Q723" i="1"/>
  <c r="T722" i="1"/>
  <c r="S722" i="1"/>
  <c r="R722" i="1"/>
  <c r="Q722" i="1"/>
  <c r="T721" i="1"/>
  <c r="S721" i="1"/>
  <c r="R721" i="1"/>
  <c r="Q721" i="1"/>
  <c r="T720" i="1"/>
  <c r="S720" i="1"/>
  <c r="R720" i="1"/>
  <c r="Q720" i="1"/>
  <c r="T719" i="1"/>
  <c r="S719" i="1"/>
  <c r="R719" i="1"/>
  <c r="Q719" i="1"/>
  <c r="T718" i="1"/>
  <c r="S718" i="1"/>
  <c r="R718" i="1"/>
  <c r="Q718" i="1"/>
  <c r="T717" i="1"/>
  <c r="S717" i="1"/>
  <c r="R717" i="1"/>
  <c r="Q717" i="1"/>
  <c r="T716" i="1"/>
  <c r="S716" i="1"/>
  <c r="R716" i="1"/>
  <c r="Q716" i="1"/>
  <c r="T715" i="1"/>
  <c r="S715" i="1"/>
  <c r="R715" i="1"/>
  <c r="Q715" i="1"/>
  <c r="T714" i="1"/>
  <c r="S714" i="1"/>
  <c r="R714" i="1"/>
  <c r="Q714" i="1"/>
  <c r="T713" i="1"/>
  <c r="S713" i="1"/>
  <c r="R713" i="1"/>
  <c r="Q713" i="1"/>
  <c r="T712" i="1"/>
  <c r="S712" i="1"/>
  <c r="R712" i="1"/>
  <c r="Q712" i="1"/>
  <c r="T711" i="1"/>
  <c r="S711" i="1"/>
  <c r="R711" i="1"/>
  <c r="Q711" i="1"/>
  <c r="T710" i="1"/>
  <c r="S710" i="1"/>
  <c r="R710" i="1"/>
  <c r="Q710" i="1"/>
  <c r="T709" i="1"/>
  <c r="S709" i="1"/>
  <c r="R709" i="1"/>
  <c r="Q709" i="1"/>
  <c r="T708" i="1"/>
  <c r="S708" i="1"/>
  <c r="R708" i="1"/>
  <c r="Q708" i="1"/>
  <c r="T707" i="1"/>
  <c r="S707" i="1"/>
  <c r="R707" i="1"/>
  <c r="Q707" i="1"/>
  <c r="T706" i="1"/>
  <c r="S706" i="1"/>
  <c r="R706" i="1"/>
  <c r="Q706" i="1"/>
  <c r="T705" i="1"/>
  <c r="S705" i="1"/>
  <c r="R705" i="1"/>
  <c r="Q705" i="1"/>
  <c r="T704" i="1"/>
  <c r="S704" i="1"/>
  <c r="R704" i="1"/>
  <c r="Q704" i="1"/>
  <c r="T703" i="1"/>
  <c r="S703" i="1"/>
  <c r="R703" i="1"/>
  <c r="Q703" i="1"/>
  <c r="T702" i="1"/>
  <c r="S702" i="1"/>
  <c r="R702" i="1"/>
  <c r="Q702" i="1"/>
  <c r="T701" i="1"/>
  <c r="S701" i="1"/>
  <c r="R701" i="1"/>
  <c r="Q701" i="1"/>
  <c r="T700" i="1"/>
  <c r="S700" i="1"/>
  <c r="R700" i="1"/>
  <c r="Q700" i="1"/>
  <c r="T699" i="1"/>
  <c r="S699" i="1"/>
  <c r="R699" i="1"/>
  <c r="Q699" i="1"/>
  <c r="T698" i="1"/>
  <c r="S698" i="1"/>
  <c r="R698" i="1"/>
  <c r="Q698" i="1"/>
  <c r="T697" i="1"/>
  <c r="S697" i="1"/>
  <c r="R697" i="1"/>
  <c r="Q697" i="1"/>
  <c r="T696" i="1"/>
  <c r="S696" i="1"/>
  <c r="R696" i="1"/>
  <c r="Q696" i="1"/>
  <c r="T695" i="1"/>
  <c r="S695" i="1"/>
  <c r="R695" i="1"/>
  <c r="Q695" i="1"/>
  <c r="T694" i="1"/>
  <c r="S694" i="1"/>
  <c r="R694" i="1"/>
  <c r="Q694" i="1"/>
  <c r="T693" i="1"/>
  <c r="S693" i="1"/>
  <c r="R693" i="1"/>
  <c r="Q693" i="1"/>
  <c r="T692" i="1"/>
  <c r="S692" i="1"/>
  <c r="R692" i="1"/>
  <c r="Q692" i="1"/>
  <c r="T691" i="1"/>
  <c r="S691" i="1"/>
  <c r="R691" i="1"/>
  <c r="Q691" i="1"/>
  <c r="T690" i="1"/>
  <c r="S690" i="1"/>
  <c r="R690" i="1"/>
  <c r="Q690" i="1"/>
  <c r="T689" i="1"/>
  <c r="S689" i="1"/>
  <c r="R689" i="1"/>
  <c r="Q689" i="1"/>
  <c r="T688" i="1"/>
  <c r="S688" i="1"/>
  <c r="R688" i="1"/>
  <c r="Q688" i="1"/>
  <c r="T687" i="1"/>
  <c r="S687" i="1"/>
  <c r="R687" i="1"/>
  <c r="Q687" i="1"/>
  <c r="T686" i="1"/>
  <c r="S686" i="1"/>
  <c r="R686" i="1"/>
  <c r="Q686" i="1"/>
  <c r="T685" i="1"/>
  <c r="S685" i="1"/>
  <c r="R685" i="1"/>
  <c r="Q685" i="1"/>
  <c r="T684" i="1"/>
  <c r="S684" i="1"/>
  <c r="R684" i="1"/>
  <c r="Q684" i="1"/>
  <c r="T683" i="1"/>
  <c r="S683" i="1"/>
  <c r="R683" i="1"/>
  <c r="Q683" i="1"/>
  <c r="T682" i="1"/>
  <c r="S682" i="1"/>
  <c r="R682" i="1"/>
  <c r="Q682" i="1"/>
  <c r="T681" i="1"/>
  <c r="S681" i="1"/>
  <c r="R681" i="1"/>
  <c r="Q681" i="1"/>
  <c r="T680" i="1"/>
  <c r="S680" i="1"/>
  <c r="R680" i="1"/>
  <c r="Q680" i="1"/>
  <c r="T679" i="1"/>
  <c r="S679" i="1"/>
  <c r="R679" i="1"/>
  <c r="Q679" i="1"/>
  <c r="T678" i="1"/>
  <c r="S678" i="1"/>
  <c r="R678" i="1"/>
  <c r="Q678" i="1"/>
  <c r="T677" i="1"/>
  <c r="S677" i="1"/>
  <c r="R677" i="1"/>
  <c r="Q677" i="1"/>
  <c r="T676" i="1"/>
  <c r="S676" i="1"/>
  <c r="R676" i="1"/>
  <c r="Q676" i="1"/>
  <c r="T675" i="1"/>
  <c r="S675" i="1"/>
  <c r="R675" i="1"/>
  <c r="Q675" i="1"/>
  <c r="T674" i="1"/>
  <c r="S674" i="1"/>
  <c r="R674" i="1"/>
  <c r="Q674" i="1"/>
  <c r="T673" i="1"/>
  <c r="S673" i="1"/>
  <c r="R673" i="1"/>
  <c r="Q673" i="1"/>
  <c r="T672" i="1"/>
  <c r="S672" i="1"/>
  <c r="R672" i="1"/>
  <c r="Q672" i="1"/>
  <c r="T671" i="1"/>
  <c r="S671" i="1"/>
  <c r="R671" i="1"/>
  <c r="Q671" i="1"/>
  <c r="T670" i="1"/>
  <c r="S670" i="1"/>
  <c r="R670" i="1"/>
  <c r="Q670" i="1"/>
  <c r="T669" i="1"/>
  <c r="S669" i="1"/>
  <c r="R669" i="1"/>
  <c r="Q669" i="1"/>
  <c r="T668" i="1"/>
  <c r="S668" i="1"/>
  <c r="R668" i="1"/>
  <c r="Q668" i="1"/>
  <c r="T667" i="1"/>
  <c r="S667" i="1"/>
  <c r="R667" i="1"/>
  <c r="Q667" i="1"/>
  <c r="T666" i="1"/>
  <c r="S666" i="1"/>
  <c r="R666" i="1"/>
  <c r="Q666" i="1"/>
  <c r="T665" i="1"/>
  <c r="S665" i="1"/>
  <c r="R665" i="1"/>
  <c r="Q665" i="1"/>
  <c r="T664" i="1"/>
  <c r="S664" i="1"/>
  <c r="R664" i="1"/>
  <c r="Q664" i="1"/>
  <c r="T663" i="1"/>
  <c r="S663" i="1"/>
  <c r="R663" i="1"/>
  <c r="Q663" i="1"/>
  <c r="T662" i="1"/>
  <c r="S662" i="1"/>
  <c r="R662" i="1"/>
  <c r="Q662" i="1"/>
  <c r="T661" i="1"/>
  <c r="S661" i="1"/>
  <c r="R661" i="1"/>
  <c r="Q661" i="1"/>
  <c r="T660" i="1"/>
  <c r="S660" i="1"/>
  <c r="R660" i="1"/>
  <c r="Q660" i="1"/>
  <c r="T659" i="1"/>
  <c r="S659" i="1"/>
  <c r="R659" i="1"/>
  <c r="Q659" i="1"/>
  <c r="T658" i="1"/>
  <c r="S658" i="1"/>
  <c r="R658" i="1"/>
  <c r="Q658" i="1"/>
  <c r="T657" i="1"/>
  <c r="S657" i="1"/>
  <c r="R657" i="1"/>
  <c r="Q657" i="1"/>
  <c r="T656" i="1"/>
  <c r="S656" i="1"/>
  <c r="R656" i="1"/>
  <c r="Q656" i="1"/>
  <c r="T655" i="1"/>
  <c r="S655" i="1"/>
  <c r="R655" i="1"/>
  <c r="Q655" i="1"/>
  <c r="T654" i="1"/>
  <c r="S654" i="1"/>
  <c r="R654" i="1"/>
  <c r="Q654" i="1"/>
  <c r="T653" i="1"/>
  <c r="S653" i="1"/>
  <c r="R653" i="1"/>
  <c r="Q653" i="1"/>
  <c r="T652" i="1"/>
  <c r="S652" i="1"/>
  <c r="R652" i="1"/>
  <c r="Q652" i="1"/>
  <c r="T651" i="1"/>
  <c r="S651" i="1"/>
  <c r="R651" i="1"/>
  <c r="Q651" i="1"/>
  <c r="T650" i="1"/>
  <c r="S650" i="1"/>
  <c r="R650" i="1"/>
  <c r="Q650" i="1"/>
  <c r="T649" i="1"/>
  <c r="S649" i="1"/>
  <c r="R649" i="1"/>
  <c r="Q649" i="1"/>
  <c r="T648" i="1"/>
  <c r="S648" i="1"/>
  <c r="R648" i="1"/>
  <c r="Q648" i="1"/>
  <c r="T647" i="1"/>
  <c r="S647" i="1"/>
  <c r="R647" i="1"/>
  <c r="Q647" i="1"/>
  <c r="T646" i="1"/>
  <c r="S646" i="1"/>
  <c r="R646" i="1"/>
  <c r="Q646" i="1"/>
  <c r="T645" i="1"/>
  <c r="S645" i="1"/>
  <c r="R645" i="1"/>
  <c r="Q645" i="1"/>
  <c r="T644" i="1"/>
  <c r="S644" i="1"/>
  <c r="R644" i="1"/>
  <c r="Q644" i="1"/>
  <c r="T643" i="1"/>
  <c r="S643" i="1"/>
  <c r="R643" i="1"/>
  <c r="Q643" i="1"/>
  <c r="T642" i="1"/>
  <c r="S642" i="1"/>
  <c r="R642" i="1"/>
  <c r="Q642" i="1"/>
  <c r="T641" i="1"/>
  <c r="S641" i="1"/>
  <c r="R641" i="1"/>
  <c r="Q641" i="1"/>
  <c r="T640" i="1"/>
  <c r="S640" i="1"/>
  <c r="R640" i="1"/>
  <c r="Q640" i="1"/>
  <c r="T639" i="1"/>
  <c r="S639" i="1"/>
  <c r="R639" i="1"/>
  <c r="Q639" i="1"/>
  <c r="T638" i="1"/>
  <c r="S638" i="1"/>
  <c r="R638" i="1"/>
  <c r="Q638" i="1"/>
  <c r="T637" i="1"/>
  <c r="S637" i="1"/>
  <c r="R637" i="1"/>
  <c r="Q637" i="1"/>
  <c r="T636" i="1"/>
  <c r="S636" i="1"/>
  <c r="R636" i="1"/>
  <c r="Q636" i="1"/>
  <c r="T635" i="1"/>
  <c r="S635" i="1"/>
  <c r="R635" i="1"/>
  <c r="Q635" i="1"/>
  <c r="T634" i="1"/>
  <c r="S634" i="1"/>
  <c r="R634" i="1"/>
  <c r="Q634" i="1"/>
  <c r="T633" i="1"/>
  <c r="S633" i="1"/>
  <c r="R633" i="1"/>
  <c r="Q633" i="1"/>
  <c r="T632" i="1"/>
  <c r="S632" i="1"/>
  <c r="R632" i="1"/>
  <c r="Q632" i="1"/>
  <c r="T631" i="1"/>
  <c r="S631" i="1"/>
  <c r="R631" i="1"/>
  <c r="Q631" i="1"/>
  <c r="T630" i="1"/>
  <c r="S630" i="1"/>
  <c r="R630" i="1"/>
  <c r="Q630" i="1"/>
  <c r="T629" i="1"/>
  <c r="S629" i="1"/>
  <c r="R629" i="1"/>
  <c r="Q629" i="1"/>
  <c r="T628" i="1"/>
  <c r="S628" i="1"/>
  <c r="R628" i="1"/>
  <c r="Q628" i="1"/>
  <c r="T627" i="1"/>
  <c r="S627" i="1"/>
  <c r="R627" i="1"/>
  <c r="Q627" i="1"/>
  <c r="T626" i="1"/>
  <c r="S626" i="1"/>
  <c r="R626" i="1"/>
  <c r="Q626" i="1"/>
  <c r="T625" i="1"/>
  <c r="S625" i="1"/>
  <c r="R625" i="1"/>
  <c r="Q625" i="1"/>
  <c r="T624" i="1"/>
  <c r="S624" i="1"/>
  <c r="R624" i="1"/>
  <c r="Q624" i="1"/>
  <c r="T623" i="1"/>
  <c r="S623" i="1"/>
  <c r="R623" i="1"/>
  <c r="Q623" i="1"/>
  <c r="T622" i="1"/>
  <c r="S622" i="1"/>
  <c r="R622" i="1"/>
  <c r="Q622" i="1"/>
  <c r="T621" i="1"/>
  <c r="S621" i="1"/>
  <c r="R621" i="1"/>
  <c r="Q621" i="1"/>
  <c r="T620" i="1"/>
  <c r="S620" i="1"/>
  <c r="R620" i="1"/>
  <c r="Q620" i="1"/>
  <c r="T619" i="1"/>
  <c r="S619" i="1"/>
  <c r="R619" i="1"/>
  <c r="Q619" i="1"/>
  <c r="T618" i="1"/>
  <c r="S618" i="1"/>
  <c r="R618" i="1"/>
  <c r="Q618" i="1"/>
  <c r="T617" i="1"/>
  <c r="S617" i="1"/>
  <c r="R617" i="1"/>
  <c r="Q617" i="1"/>
  <c r="T616" i="1"/>
  <c r="S616" i="1"/>
  <c r="R616" i="1"/>
  <c r="Q616" i="1"/>
  <c r="T615" i="1"/>
  <c r="S615" i="1"/>
  <c r="R615" i="1"/>
  <c r="Q615" i="1"/>
  <c r="T614" i="1"/>
  <c r="S614" i="1"/>
  <c r="R614" i="1"/>
  <c r="Q614" i="1"/>
  <c r="T613" i="1"/>
  <c r="S613" i="1"/>
  <c r="R613" i="1"/>
  <c r="Q613" i="1"/>
  <c r="T612" i="1"/>
  <c r="S612" i="1"/>
  <c r="R612" i="1"/>
  <c r="Q612" i="1"/>
  <c r="T611" i="1"/>
  <c r="S611" i="1"/>
  <c r="R611" i="1"/>
  <c r="Q611" i="1"/>
  <c r="T610" i="1"/>
  <c r="S610" i="1"/>
  <c r="R610" i="1"/>
  <c r="Q610" i="1"/>
  <c r="T609" i="1"/>
  <c r="S609" i="1"/>
  <c r="R609" i="1"/>
  <c r="Q609" i="1"/>
  <c r="T608" i="1"/>
  <c r="S608" i="1"/>
  <c r="R608" i="1"/>
  <c r="Q608" i="1"/>
  <c r="T607" i="1"/>
  <c r="S607" i="1"/>
  <c r="R607" i="1"/>
  <c r="Q607" i="1"/>
  <c r="T606" i="1"/>
  <c r="S606" i="1"/>
  <c r="R606" i="1"/>
  <c r="Q606" i="1"/>
  <c r="T605" i="1"/>
  <c r="S605" i="1"/>
  <c r="R605" i="1"/>
  <c r="Q605" i="1"/>
  <c r="T604" i="1"/>
  <c r="S604" i="1"/>
  <c r="R604" i="1"/>
  <c r="Q604" i="1"/>
  <c r="T603" i="1"/>
  <c r="S603" i="1"/>
  <c r="R603" i="1"/>
  <c r="Q603" i="1"/>
  <c r="T602" i="1"/>
  <c r="S602" i="1"/>
  <c r="R602" i="1"/>
  <c r="Q602" i="1"/>
  <c r="T601" i="1"/>
  <c r="S601" i="1"/>
  <c r="R601" i="1"/>
  <c r="Q601" i="1"/>
  <c r="T600" i="1"/>
  <c r="S600" i="1"/>
  <c r="R600" i="1"/>
  <c r="Q600" i="1"/>
  <c r="T599" i="1"/>
  <c r="S599" i="1"/>
  <c r="R599" i="1"/>
  <c r="Q599" i="1"/>
  <c r="T598" i="1"/>
  <c r="S598" i="1"/>
  <c r="R598" i="1"/>
  <c r="Q598" i="1"/>
  <c r="T597" i="1"/>
  <c r="S597" i="1"/>
  <c r="R597" i="1"/>
  <c r="Q597" i="1"/>
  <c r="T596" i="1"/>
  <c r="S596" i="1"/>
  <c r="R596" i="1"/>
  <c r="Q596" i="1"/>
  <c r="T595" i="1"/>
  <c r="S595" i="1"/>
  <c r="R595" i="1"/>
  <c r="Q595" i="1"/>
  <c r="T594" i="1"/>
  <c r="S594" i="1"/>
  <c r="R594" i="1"/>
  <c r="Q594" i="1"/>
  <c r="T593" i="1"/>
  <c r="S593" i="1"/>
  <c r="R593" i="1"/>
  <c r="Q593" i="1"/>
  <c r="T592" i="1"/>
  <c r="S592" i="1"/>
  <c r="R592" i="1"/>
  <c r="Q592" i="1"/>
  <c r="T591" i="1"/>
  <c r="S591" i="1"/>
  <c r="R591" i="1"/>
  <c r="Q591" i="1"/>
  <c r="T590" i="1"/>
  <c r="S590" i="1"/>
  <c r="R590" i="1"/>
  <c r="Q590" i="1"/>
  <c r="T589" i="1"/>
  <c r="S589" i="1"/>
  <c r="R589" i="1"/>
  <c r="Q589" i="1"/>
  <c r="T588" i="1"/>
  <c r="S588" i="1"/>
  <c r="R588" i="1"/>
  <c r="Q588" i="1"/>
  <c r="T587" i="1"/>
  <c r="S587" i="1"/>
  <c r="R587" i="1"/>
  <c r="Q587" i="1"/>
  <c r="T586" i="1"/>
  <c r="S586" i="1"/>
  <c r="R586" i="1"/>
  <c r="Q586" i="1"/>
  <c r="T585" i="1"/>
  <c r="S585" i="1"/>
  <c r="R585" i="1"/>
  <c r="Q585" i="1"/>
  <c r="T584" i="1"/>
  <c r="S584" i="1"/>
  <c r="R584" i="1"/>
  <c r="Q584" i="1"/>
  <c r="T583" i="1"/>
  <c r="S583" i="1"/>
  <c r="R583" i="1"/>
  <c r="Q583" i="1"/>
  <c r="T582" i="1"/>
  <c r="S582" i="1"/>
  <c r="R582" i="1"/>
  <c r="Q582" i="1"/>
  <c r="T581" i="1"/>
  <c r="S581" i="1"/>
  <c r="R581" i="1"/>
  <c r="Q581" i="1"/>
  <c r="T580" i="1"/>
  <c r="S580" i="1"/>
  <c r="R580" i="1"/>
  <c r="Q580" i="1"/>
  <c r="T579" i="1"/>
  <c r="S579" i="1"/>
  <c r="R579" i="1"/>
  <c r="Q579" i="1"/>
  <c r="T578" i="1"/>
  <c r="S578" i="1"/>
  <c r="R578" i="1"/>
  <c r="Q578" i="1"/>
  <c r="T577" i="1"/>
  <c r="S577" i="1"/>
  <c r="R577" i="1"/>
  <c r="Q577" i="1"/>
  <c r="T576" i="1"/>
  <c r="S576" i="1"/>
  <c r="R576" i="1"/>
  <c r="Q576" i="1"/>
  <c r="T575" i="1"/>
  <c r="S575" i="1"/>
  <c r="R575" i="1"/>
  <c r="Q575" i="1"/>
  <c r="T574" i="1"/>
  <c r="S574" i="1"/>
  <c r="R574" i="1"/>
  <c r="Q574" i="1"/>
  <c r="T573" i="1"/>
  <c r="S573" i="1"/>
  <c r="R573" i="1"/>
  <c r="Q573" i="1"/>
  <c r="T572" i="1"/>
  <c r="S572" i="1"/>
  <c r="R572" i="1"/>
  <c r="Q572" i="1"/>
  <c r="T571" i="1"/>
  <c r="S571" i="1"/>
  <c r="R571" i="1"/>
  <c r="Q571" i="1"/>
  <c r="T570" i="1"/>
  <c r="S570" i="1"/>
  <c r="R570" i="1"/>
  <c r="Q570" i="1"/>
  <c r="T569" i="1"/>
  <c r="S569" i="1"/>
  <c r="R569" i="1"/>
  <c r="Q569" i="1"/>
  <c r="T568" i="1"/>
  <c r="S568" i="1"/>
  <c r="R568" i="1"/>
  <c r="Q568" i="1"/>
  <c r="T567" i="1"/>
  <c r="S567" i="1"/>
  <c r="R567" i="1"/>
  <c r="Q567" i="1"/>
  <c r="T566" i="1"/>
  <c r="S566" i="1"/>
  <c r="R566" i="1"/>
  <c r="Q566" i="1"/>
  <c r="T565" i="1"/>
  <c r="S565" i="1"/>
  <c r="R565" i="1"/>
  <c r="Q565" i="1"/>
  <c r="T564" i="1"/>
  <c r="S564" i="1"/>
  <c r="R564" i="1"/>
  <c r="Q564" i="1"/>
  <c r="T563" i="1"/>
  <c r="S563" i="1"/>
  <c r="R563" i="1"/>
  <c r="Q563" i="1"/>
  <c r="T562" i="1"/>
  <c r="S562" i="1"/>
  <c r="R562" i="1"/>
  <c r="Q562" i="1"/>
  <c r="T561" i="1"/>
  <c r="S561" i="1"/>
  <c r="R561" i="1"/>
  <c r="Q561" i="1"/>
  <c r="T560" i="1"/>
  <c r="S560" i="1"/>
  <c r="R560" i="1"/>
  <c r="Q560" i="1"/>
  <c r="T559" i="1"/>
  <c r="S559" i="1"/>
  <c r="R559" i="1"/>
  <c r="Q559" i="1"/>
  <c r="T558" i="1"/>
  <c r="S558" i="1"/>
  <c r="R558" i="1"/>
  <c r="Q558" i="1"/>
  <c r="T557" i="1"/>
  <c r="S557" i="1"/>
  <c r="R557" i="1"/>
  <c r="Q557" i="1"/>
  <c r="T556" i="1"/>
  <c r="S556" i="1"/>
  <c r="R556" i="1"/>
  <c r="Q556" i="1"/>
  <c r="T555" i="1"/>
  <c r="S555" i="1"/>
  <c r="R555" i="1"/>
  <c r="Q555" i="1"/>
  <c r="T554" i="1"/>
  <c r="S554" i="1"/>
  <c r="R554" i="1"/>
  <c r="Q554" i="1"/>
  <c r="T553" i="1"/>
  <c r="S553" i="1"/>
  <c r="R553" i="1"/>
  <c r="Q553" i="1"/>
  <c r="T552" i="1"/>
  <c r="S552" i="1"/>
  <c r="R552" i="1"/>
  <c r="Q552" i="1"/>
  <c r="T551" i="1"/>
  <c r="S551" i="1"/>
  <c r="R551" i="1"/>
  <c r="Q551" i="1"/>
  <c r="T550" i="1"/>
  <c r="S550" i="1"/>
  <c r="R550" i="1"/>
  <c r="Q550" i="1"/>
  <c r="T549" i="1"/>
  <c r="S549" i="1"/>
  <c r="R549" i="1"/>
  <c r="Q549" i="1"/>
  <c r="T548" i="1"/>
  <c r="S548" i="1"/>
  <c r="R548" i="1"/>
  <c r="Q548" i="1"/>
  <c r="T547" i="1"/>
  <c r="S547" i="1"/>
  <c r="R547" i="1"/>
  <c r="Q547" i="1"/>
  <c r="T546" i="1"/>
  <c r="S546" i="1"/>
  <c r="R546" i="1"/>
  <c r="Q546" i="1"/>
  <c r="T545" i="1"/>
  <c r="S545" i="1"/>
  <c r="R545" i="1"/>
  <c r="Q545" i="1"/>
  <c r="T544" i="1"/>
  <c r="S544" i="1"/>
  <c r="R544" i="1"/>
  <c r="Q544" i="1"/>
  <c r="T543" i="1"/>
  <c r="S543" i="1"/>
  <c r="R543" i="1"/>
  <c r="Q543" i="1"/>
  <c r="T542" i="1"/>
  <c r="S542" i="1"/>
  <c r="R542" i="1"/>
  <c r="Q542" i="1"/>
  <c r="T541" i="1"/>
  <c r="S541" i="1"/>
  <c r="R541" i="1"/>
  <c r="Q541" i="1"/>
  <c r="T540" i="1"/>
  <c r="S540" i="1"/>
  <c r="R540" i="1"/>
  <c r="Q540" i="1"/>
  <c r="T539" i="1"/>
  <c r="S539" i="1"/>
  <c r="R539" i="1"/>
  <c r="Q539" i="1"/>
  <c r="T538" i="1"/>
  <c r="S538" i="1"/>
  <c r="R538" i="1"/>
  <c r="Q538" i="1"/>
  <c r="T537" i="1"/>
  <c r="S537" i="1"/>
  <c r="R537" i="1"/>
  <c r="Q537" i="1"/>
  <c r="T536" i="1"/>
  <c r="S536" i="1"/>
  <c r="R536" i="1"/>
  <c r="Q536" i="1"/>
  <c r="T535" i="1"/>
  <c r="S535" i="1"/>
  <c r="R535" i="1"/>
  <c r="Q535" i="1"/>
  <c r="T534" i="1"/>
  <c r="S534" i="1"/>
  <c r="R534" i="1"/>
  <c r="Q534" i="1"/>
  <c r="T533" i="1"/>
  <c r="S533" i="1"/>
  <c r="R533" i="1"/>
  <c r="Q533" i="1"/>
  <c r="T532" i="1"/>
  <c r="S532" i="1"/>
  <c r="R532" i="1"/>
  <c r="Q532" i="1"/>
  <c r="T531" i="1"/>
  <c r="S531" i="1"/>
  <c r="R531" i="1"/>
  <c r="Q531" i="1"/>
  <c r="T530" i="1"/>
  <c r="S530" i="1"/>
  <c r="R530" i="1"/>
  <c r="Q530" i="1"/>
  <c r="T529" i="1"/>
  <c r="S529" i="1"/>
  <c r="R529" i="1"/>
  <c r="Q529" i="1"/>
  <c r="T528" i="1"/>
  <c r="S528" i="1"/>
  <c r="R528" i="1"/>
  <c r="Q528" i="1"/>
  <c r="T527" i="1"/>
  <c r="S527" i="1"/>
  <c r="R527" i="1"/>
  <c r="Q527" i="1"/>
  <c r="T526" i="1"/>
  <c r="S526" i="1"/>
  <c r="R526" i="1"/>
  <c r="Q526" i="1"/>
  <c r="T525" i="1"/>
  <c r="S525" i="1"/>
  <c r="R525" i="1"/>
  <c r="Q525" i="1"/>
  <c r="T524" i="1"/>
  <c r="S524" i="1"/>
  <c r="R524" i="1"/>
  <c r="Q524" i="1"/>
  <c r="T523" i="1"/>
  <c r="S523" i="1"/>
  <c r="R523" i="1"/>
  <c r="Q523" i="1"/>
  <c r="T522" i="1"/>
  <c r="S522" i="1"/>
  <c r="R522" i="1"/>
  <c r="Q522" i="1"/>
  <c r="T521" i="1"/>
  <c r="S521" i="1"/>
  <c r="R521" i="1"/>
  <c r="Q521" i="1"/>
  <c r="T520" i="1"/>
  <c r="S520" i="1"/>
  <c r="R520" i="1"/>
  <c r="Q520" i="1"/>
  <c r="T519" i="1"/>
  <c r="S519" i="1"/>
  <c r="R519" i="1"/>
  <c r="Q519" i="1"/>
  <c r="T518" i="1"/>
  <c r="S518" i="1"/>
  <c r="R518" i="1"/>
  <c r="Q518" i="1"/>
  <c r="T517" i="1"/>
  <c r="S517" i="1"/>
  <c r="R517" i="1"/>
  <c r="Q517" i="1"/>
  <c r="T516" i="1"/>
  <c r="S516" i="1"/>
  <c r="R516" i="1"/>
  <c r="Q516" i="1"/>
  <c r="T515" i="1"/>
  <c r="S515" i="1"/>
  <c r="R515" i="1"/>
  <c r="Q515" i="1"/>
  <c r="T514" i="1"/>
  <c r="S514" i="1"/>
  <c r="R514" i="1"/>
  <c r="Q514" i="1"/>
  <c r="T513" i="1"/>
  <c r="S513" i="1"/>
  <c r="R513" i="1"/>
  <c r="Q513" i="1"/>
  <c r="T512" i="1"/>
  <c r="S512" i="1"/>
  <c r="R512" i="1"/>
  <c r="Q512" i="1"/>
  <c r="T511" i="1"/>
  <c r="S511" i="1"/>
  <c r="R511" i="1"/>
  <c r="Q511" i="1"/>
  <c r="T510" i="1"/>
  <c r="S510" i="1"/>
  <c r="R510" i="1"/>
  <c r="Q510" i="1"/>
  <c r="T509" i="1"/>
  <c r="S509" i="1"/>
  <c r="R509" i="1"/>
  <c r="Q509" i="1"/>
  <c r="T508" i="1"/>
  <c r="S508" i="1"/>
  <c r="R508" i="1"/>
  <c r="Q508" i="1"/>
  <c r="T507" i="1"/>
  <c r="S507" i="1"/>
  <c r="R507" i="1"/>
  <c r="Q507" i="1"/>
  <c r="T506" i="1"/>
  <c r="S506" i="1"/>
  <c r="R506" i="1"/>
  <c r="Q506" i="1"/>
  <c r="T505" i="1"/>
  <c r="S505" i="1"/>
  <c r="R505" i="1"/>
  <c r="Q505" i="1"/>
  <c r="T504" i="1"/>
  <c r="S504" i="1"/>
  <c r="R504" i="1"/>
  <c r="Q504" i="1"/>
  <c r="T503" i="1"/>
  <c r="S503" i="1"/>
  <c r="R503" i="1"/>
  <c r="Q503" i="1"/>
  <c r="T502" i="1"/>
  <c r="S502" i="1"/>
  <c r="R502" i="1"/>
  <c r="Q502" i="1"/>
  <c r="T501" i="1"/>
  <c r="S501" i="1"/>
  <c r="R501" i="1"/>
  <c r="Q501" i="1"/>
  <c r="T500" i="1"/>
  <c r="S500" i="1"/>
  <c r="R500" i="1"/>
  <c r="Q500" i="1"/>
  <c r="T499" i="1"/>
  <c r="S499" i="1"/>
  <c r="R499" i="1"/>
  <c r="Q499" i="1"/>
  <c r="T498" i="1"/>
  <c r="S498" i="1"/>
  <c r="R498" i="1"/>
  <c r="Q498" i="1"/>
  <c r="T497" i="1"/>
  <c r="S497" i="1"/>
  <c r="R497" i="1"/>
  <c r="Q497" i="1"/>
  <c r="T496" i="1"/>
  <c r="S496" i="1"/>
  <c r="R496" i="1"/>
  <c r="Q496" i="1"/>
  <c r="T495" i="1"/>
  <c r="S495" i="1"/>
  <c r="R495" i="1"/>
  <c r="Q495" i="1"/>
  <c r="T494" i="1"/>
  <c r="S494" i="1"/>
  <c r="R494" i="1"/>
  <c r="Q494" i="1"/>
  <c r="T493" i="1"/>
  <c r="S493" i="1"/>
  <c r="R493" i="1"/>
  <c r="Q493" i="1"/>
  <c r="T492" i="1"/>
  <c r="S492" i="1"/>
  <c r="R492" i="1"/>
  <c r="Q492" i="1"/>
  <c r="T491" i="1"/>
  <c r="S491" i="1"/>
  <c r="R491" i="1"/>
  <c r="Q491" i="1"/>
  <c r="T490" i="1"/>
  <c r="S490" i="1"/>
  <c r="R490" i="1"/>
  <c r="Q490" i="1"/>
  <c r="T489" i="1"/>
  <c r="S489" i="1"/>
  <c r="R489" i="1"/>
  <c r="Q489" i="1"/>
  <c r="T488" i="1"/>
  <c r="S488" i="1"/>
  <c r="R488" i="1"/>
  <c r="Q488" i="1"/>
  <c r="T487" i="1"/>
  <c r="S487" i="1"/>
  <c r="R487" i="1"/>
  <c r="Q487" i="1"/>
  <c r="T486" i="1"/>
  <c r="S486" i="1"/>
  <c r="R486" i="1"/>
  <c r="Q486" i="1"/>
  <c r="T485" i="1"/>
  <c r="S485" i="1"/>
  <c r="R485" i="1"/>
  <c r="Q485" i="1"/>
  <c r="T484" i="1"/>
  <c r="S484" i="1"/>
  <c r="R484" i="1"/>
  <c r="Q484" i="1"/>
  <c r="T483" i="1"/>
  <c r="S483" i="1"/>
  <c r="R483" i="1"/>
  <c r="Q483" i="1"/>
  <c r="T482" i="1"/>
  <c r="S482" i="1"/>
  <c r="R482" i="1"/>
  <c r="Q482" i="1"/>
  <c r="T481" i="1"/>
  <c r="S481" i="1"/>
  <c r="R481" i="1"/>
  <c r="Q481" i="1"/>
  <c r="T480" i="1"/>
  <c r="S480" i="1"/>
  <c r="R480" i="1"/>
  <c r="Q480" i="1"/>
  <c r="T479" i="1"/>
  <c r="S479" i="1"/>
  <c r="R479" i="1"/>
  <c r="Q479" i="1"/>
  <c r="T478" i="1"/>
  <c r="S478" i="1"/>
  <c r="R478" i="1"/>
  <c r="Q478" i="1"/>
  <c r="T477" i="1"/>
  <c r="S477" i="1"/>
  <c r="R477" i="1"/>
  <c r="Q477" i="1"/>
  <c r="T476" i="1"/>
  <c r="S476" i="1"/>
  <c r="R476" i="1"/>
  <c r="Q476" i="1"/>
  <c r="T475" i="1"/>
  <c r="S475" i="1"/>
  <c r="R475" i="1"/>
  <c r="Q475" i="1"/>
  <c r="T474" i="1"/>
  <c r="S474" i="1"/>
  <c r="R474" i="1"/>
  <c r="Q474" i="1"/>
  <c r="T473" i="1"/>
  <c r="S473" i="1"/>
  <c r="R473" i="1"/>
  <c r="Q473" i="1"/>
  <c r="T472" i="1"/>
  <c r="S472" i="1"/>
  <c r="R472" i="1"/>
  <c r="Q472" i="1"/>
  <c r="T471" i="1"/>
  <c r="S471" i="1"/>
  <c r="R471" i="1"/>
  <c r="Q471" i="1"/>
  <c r="T470" i="1"/>
  <c r="S470" i="1"/>
  <c r="R470" i="1"/>
  <c r="Q470" i="1"/>
  <c r="T469" i="1"/>
  <c r="S469" i="1"/>
  <c r="R469" i="1"/>
  <c r="Q469" i="1"/>
  <c r="T468" i="1"/>
  <c r="S468" i="1"/>
  <c r="R468" i="1"/>
  <c r="Q468" i="1"/>
  <c r="T467" i="1"/>
  <c r="S467" i="1"/>
  <c r="R467" i="1"/>
  <c r="Q467" i="1"/>
  <c r="T466" i="1"/>
  <c r="S466" i="1"/>
  <c r="R466" i="1"/>
  <c r="Q466" i="1"/>
  <c r="T465" i="1"/>
  <c r="S465" i="1"/>
  <c r="R465" i="1"/>
  <c r="Q465" i="1"/>
  <c r="T464" i="1"/>
  <c r="S464" i="1"/>
  <c r="R464" i="1"/>
  <c r="Q464" i="1"/>
  <c r="T463" i="1"/>
  <c r="S463" i="1"/>
  <c r="R463" i="1"/>
  <c r="Q463" i="1"/>
  <c r="T462" i="1"/>
  <c r="S462" i="1"/>
  <c r="R462" i="1"/>
  <c r="Q462" i="1"/>
  <c r="T461" i="1"/>
  <c r="S461" i="1"/>
  <c r="R461" i="1"/>
  <c r="Q461" i="1"/>
  <c r="T460" i="1"/>
  <c r="S460" i="1"/>
  <c r="R460" i="1"/>
  <c r="Q460" i="1"/>
  <c r="T459" i="1"/>
  <c r="S459" i="1"/>
  <c r="R459" i="1"/>
  <c r="Q459" i="1"/>
  <c r="T458" i="1"/>
  <c r="S458" i="1"/>
  <c r="R458" i="1"/>
  <c r="Q458" i="1"/>
  <c r="T457" i="1"/>
  <c r="S457" i="1"/>
  <c r="R457" i="1"/>
  <c r="Q457" i="1"/>
  <c r="T456" i="1"/>
  <c r="S456" i="1"/>
  <c r="R456" i="1"/>
  <c r="Q456" i="1"/>
  <c r="T455" i="1"/>
  <c r="S455" i="1"/>
  <c r="R455" i="1"/>
  <c r="Q455" i="1"/>
  <c r="T454" i="1"/>
  <c r="S454" i="1"/>
  <c r="R454" i="1"/>
  <c r="Q454" i="1"/>
  <c r="T453" i="1"/>
  <c r="S453" i="1"/>
  <c r="R453" i="1"/>
  <c r="Q453" i="1"/>
  <c r="T452" i="1"/>
  <c r="S452" i="1"/>
  <c r="R452" i="1"/>
  <c r="Q452" i="1"/>
  <c r="T451" i="1"/>
  <c r="S451" i="1"/>
  <c r="R451" i="1"/>
  <c r="Q451" i="1"/>
  <c r="T450" i="1"/>
  <c r="S450" i="1"/>
  <c r="R450" i="1"/>
  <c r="Q450" i="1"/>
  <c r="T449" i="1"/>
  <c r="S449" i="1"/>
  <c r="R449" i="1"/>
  <c r="Q449" i="1"/>
  <c r="T448" i="1"/>
  <c r="S448" i="1"/>
  <c r="R448" i="1"/>
  <c r="Q448" i="1"/>
  <c r="T447" i="1"/>
  <c r="S447" i="1"/>
  <c r="R447" i="1"/>
  <c r="Q447" i="1"/>
  <c r="T446" i="1"/>
  <c r="S446" i="1"/>
  <c r="R446" i="1"/>
  <c r="Q446" i="1"/>
  <c r="T445" i="1"/>
  <c r="S445" i="1"/>
  <c r="R445" i="1"/>
  <c r="Q445" i="1"/>
  <c r="T444" i="1"/>
  <c r="S444" i="1"/>
  <c r="R444" i="1"/>
  <c r="Q444" i="1"/>
  <c r="T443" i="1"/>
  <c r="S443" i="1"/>
  <c r="R443" i="1"/>
  <c r="Q443" i="1"/>
  <c r="T442" i="1"/>
  <c r="S442" i="1"/>
  <c r="R442" i="1"/>
  <c r="Q442" i="1"/>
  <c r="T441" i="1"/>
  <c r="S441" i="1"/>
  <c r="R441" i="1"/>
  <c r="Q441" i="1"/>
  <c r="T440" i="1"/>
  <c r="S440" i="1"/>
  <c r="R440" i="1"/>
  <c r="Q440" i="1"/>
  <c r="T439" i="1"/>
  <c r="S439" i="1"/>
  <c r="R439" i="1"/>
  <c r="Q439" i="1"/>
  <c r="T438" i="1"/>
  <c r="S438" i="1"/>
  <c r="R438" i="1"/>
  <c r="Q438" i="1"/>
  <c r="T437" i="1"/>
  <c r="S437" i="1"/>
  <c r="R437" i="1"/>
  <c r="Q437" i="1"/>
  <c r="T436" i="1"/>
  <c r="S436" i="1"/>
  <c r="R436" i="1"/>
  <c r="Q436" i="1"/>
  <c r="T435" i="1"/>
  <c r="S435" i="1"/>
  <c r="R435" i="1"/>
  <c r="Q435" i="1"/>
  <c r="T434" i="1"/>
  <c r="S434" i="1"/>
  <c r="R434" i="1"/>
  <c r="Q434" i="1"/>
  <c r="T433" i="1"/>
  <c r="S433" i="1"/>
  <c r="R433" i="1"/>
  <c r="Q433" i="1"/>
  <c r="T432" i="1"/>
  <c r="S432" i="1"/>
  <c r="R432" i="1"/>
  <c r="Q432" i="1"/>
  <c r="T431" i="1"/>
  <c r="S431" i="1"/>
  <c r="R431" i="1"/>
  <c r="Q431" i="1"/>
  <c r="T430" i="1"/>
  <c r="S430" i="1"/>
  <c r="R430" i="1"/>
  <c r="Q430" i="1"/>
  <c r="T429" i="1"/>
  <c r="S429" i="1"/>
  <c r="R429" i="1"/>
  <c r="Q429" i="1"/>
  <c r="T428" i="1"/>
  <c r="S428" i="1"/>
  <c r="R428" i="1"/>
  <c r="Q428" i="1"/>
  <c r="T427" i="1"/>
  <c r="S427" i="1"/>
  <c r="R427" i="1"/>
  <c r="Q427" i="1"/>
  <c r="T426" i="1"/>
  <c r="S426" i="1"/>
  <c r="R426" i="1"/>
  <c r="Q426" i="1"/>
  <c r="T425" i="1"/>
  <c r="S425" i="1"/>
  <c r="R425" i="1"/>
  <c r="Q425" i="1"/>
  <c r="T424" i="1"/>
  <c r="S424" i="1"/>
  <c r="R424" i="1"/>
  <c r="Q424" i="1"/>
  <c r="T423" i="1"/>
  <c r="S423" i="1"/>
  <c r="R423" i="1"/>
  <c r="Q423" i="1"/>
  <c r="T422" i="1"/>
  <c r="S422" i="1"/>
  <c r="R422" i="1"/>
  <c r="Q422" i="1"/>
  <c r="T421" i="1"/>
  <c r="S421" i="1"/>
  <c r="R421" i="1"/>
  <c r="Q421" i="1"/>
  <c r="T420" i="1"/>
  <c r="S420" i="1"/>
  <c r="R420" i="1"/>
  <c r="Q420" i="1"/>
  <c r="T419" i="1"/>
  <c r="S419" i="1"/>
  <c r="R419" i="1"/>
  <c r="Q419" i="1"/>
  <c r="T418" i="1"/>
  <c r="S418" i="1"/>
  <c r="R418" i="1"/>
  <c r="Q418" i="1"/>
  <c r="T417" i="1"/>
  <c r="S417" i="1"/>
  <c r="R417" i="1"/>
  <c r="Q417" i="1"/>
  <c r="T416" i="1"/>
  <c r="S416" i="1"/>
  <c r="R416" i="1"/>
  <c r="Q416" i="1"/>
  <c r="T415" i="1"/>
  <c r="S415" i="1"/>
  <c r="R415" i="1"/>
  <c r="Q415" i="1"/>
  <c r="T414" i="1"/>
  <c r="S414" i="1"/>
  <c r="R414" i="1"/>
  <c r="Q414" i="1"/>
  <c r="T413" i="1"/>
  <c r="S413" i="1"/>
  <c r="R413" i="1"/>
  <c r="Q413" i="1"/>
  <c r="T412" i="1"/>
  <c r="S412" i="1"/>
  <c r="R412" i="1"/>
  <c r="Q412" i="1"/>
  <c r="T411" i="1"/>
  <c r="S411" i="1"/>
  <c r="R411" i="1"/>
  <c r="Q411" i="1"/>
  <c r="T410" i="1"/>
  <c r="S410" i="1"/>
  <c r="R410" i="1"/>
  <c r="Q410" i="1"/>
  <c r="T409" i="1"/>
  <c r="S409" i="1"/>
  <c r="R409" i="1"/>
  <c r="Q409" i="1"/>
  <c r="T408" i="1"/>
  <c r="S408" i="1"/>
  <c r="R408" i="1"/>
  <c r="Q408" i="1"/>
  <c r="T407" i="1"/>
  <c r="S407" i="1"/>
  <c r="R407" i="1"/>
  <c r="Q407" i="1"/>
  <c r="T406" i="1"/>
  <c r="S406" i="1"/>
  <c r="R406" i="1"/>
  <c r="Q406" i="1"/>
  <c r="T405" i="1"/>
  <c r="S405" i="1"/>
  <c r="R405" i="1"/>
  <c r="Q405" i="1"/>
  <c r="T404" i="1"/>
  <c r="S404" i="1"/>
  <c r="R404" i="1"/>
  <c r="Q404" i="1"/>
  <c r="T403" i="1"/>
  <c r="S403" i="1"/>
  <c r="R403" i="1"/>
  <c r="Q403" i="1"/>
  <c r="T402" i="1"/>
  <c r="S402" i="1"/>
  <c r="R402" i="1"/>
  <c r="Q402" i="1"/>
  <c r="T401" i="1"/>
  <c r="S401" i="1"/>
  <c r="R401" i="1"/>
  <c r="Q401" i="1"/>
  <c r="T400" i="1"/>
  <c r="S400" i="1"/>
  <c r="R400" i="1"/>
  <c r="Q400" i="1"/>
  <c r="T399" i="1"/>
  <c r="S399" i="1"/>
  <c r="R399" i="1"/>
  <c r="Q399" i="1"/>
  <c r="T398" i="1"/>
  <c r="S398" i="1"/>
  <c r="R398" i="1"/>
  <c r="Q398" i="1"/>
  <c r="T397" i="1"/>
  <c r="S397" i="1"/>
  <c r="R397" i="1"/>
  <c r="Q397" i="1"/>
  <c r="T396" i="1"/>
  <c r="S396" i="1"/>
  <c r="R396" i="1"/>
  <c r="Q396" i="1"/>
  <c r="T395" i="1"/>
  <c r="S395" i="1"/>
  <c r="R395" i="1"/>
  <c r="Q395" i="1"/>
  <c r="T394" i="1"/>
  <c r="S394" i="1"/>
  <c r="R394" i="1"/>
  <c r="Q394" i="1"/>
  <c r="T393" i="1"/>
  <c r="S393" i="1"/>
  <c r="R393" i="1"/>
  <c r="Q393" i="1"/>
  <c r="T392" i="1"/>
  <c r="S392" i="1"/>
  <c r="R392" i="1"/>
  <c r="Q392" i="1"/>
  <c r="T391" i="1"/>
  <c r="S391" i="1"/>
  <c r="R391" i="1"/>
  <c r="Q391" i="1"/>
  <c r="T390" i="1"/>
  <c r="S390" i="1"/>
  <c r="R390" i="1"/>
  <c r="Q390" i="1"/>
  <c r="T389" i="1"/>
  <c r="S389" i="1"/>
  <c r="R389" i="1"/>
  <c r="Q389" i="1"/>
  <c r="T388" i="1"/>
  <c r="S388" i="1"/>
  <c r="R388" i="1"/>
  <c r="Q388" i="1"/>
  <c r="T387" i="1"/>
  <c r="S387" i="1"/>
  <c r="R387" i="1"/>
  <c r="Q387" i="1"/>
  <c r="T386" i="1"/>
  <c r="S386" i="1"/>
  <c r="R386" i="1"/>
  <c r="Q386" i="1"/>
  <c r="T385" i="1"/>
  <c r="S385" i="1"/>
  <c r="R385" i="1"/>
  <c r="Q385" i="1"/>
  <c r="T384" i="1"/>
  <c r="S384" i="1"/>
  <c r="R384" i="1"/>
  <c r="Q384" i="1"/>
  <c r="T383" i="1"/>
  <c r="S383" i="1"/>
  <c r="R383" i="1"/>
  <c r="Q383" i="1"/>
  <c r="T382" i="1"/>
  <c r="S382" i="1"/>
  <c r="R382" i="1"/>
  <c r="Q382" i="1"/>
  <c r="T381" i="1"/>
  <c r="S381" i="1"/>
  <c r="R381" i="1"/>
  <c r="Q381" i="1"/>
  <c r="T380" i="1"/>
  <c r="S380" i="1"/>
  <c r="R380" i="1"/>
  <c r="Q380" i="1"/>
  <c r="T379" i="1"/>
  <c r="S379" i="1"/>
  <c r="R379" i="1"/>
  <c r="Q379" i="1"/>
  <c r="T378" i="1"/>
  <c r="S378" i="1"/>
  <c r="R378" i="1"/>
  <c r="Q378" i="1"/>
  <c r="T377" i="1"/>
  <c r="S377" i="1"/>
  <c r="R377" i="1"/>
  <c r="Q377" i="1"/>
  <c r="T376" i="1"/>
  <c r="S376" i="1"/>
  <c r="R376" i="1"/>
  <c r="Q376" i="1"/>
  <c r="T375" i="1"/>
  <c r="S375" i="1"/>
  <c r="R375" i="1"/>
  <c r="Q375" i="1"/>
  <c r="T374" i="1"/>
  <c r="S374" i="1"/>
  <c r="R374" i="1"/>
  <c r="Q374" i="1"/>
  <c r="T373" i="1"/>
  <c r="S373" i="1"/>
  <c r="R373" i="1"/>
  <c r="Q373" i="1"/>
  <c r="T372" i="1"/>
  <c r="S372" i="1"/>
  <c r="R372" i="1"/>
  <c r="Q372" i="1"/>
  <c r="T371" i="1"/>
  <c r="S371" i="1"/>
  <c r="R371" i="1"/>
  <c r="Q371" i="1"/>
  <c r="T370" i="1"/>
  <c r="S370" i="1"/>
  <c r="R370" i="1"/>
  <c r="Q370" i="1"/>
  <c r="T369" i="1"/>
  <c r="S369" i="1"/>
  <c r="R369" i="1"/>
  <c r="Q369" i="1"/>
  <c r="T368" i="1"/>
  <c r="S368" i="1"/>
  <c r="R368" i="1"/>
  <c r="Q368" i="1"/>
  <c r="T367" i="1"/>
  <c r="S367" i="1"/>
  <c r="R367" i="1"/>
  <c r="Q367" i="1"/>
  <c r="T366" i="1"/>
  <c r="S366" i="1"/>
  <c r="R366" i="1"/>
  <c r="Q366" i="1"/>
  <c r="T365" i="1"/>
  <c r="S365" i="1"/>
  <c r="R365" i="1"/>
  <c r="Q365" i="1"/>
  <c r="T364" i="1"/>
  <c r="S364" i="1"/>
  <c r="R364" i="1"/>
  <c r="Q364" i="1"/>
  <c r="T363" i="1"/>
  <c r="S363" i="1"/>
  <c r="R363" i="1"/>
  <c r="Q363" i="1"/>
  <c r="T362" i="1"/>
  <c r="S362" i="1"/>
  <c r="R362" i="1"/>
  <c r="Q362" i="1"/>
  <c r="T361" i="1"/>
  <c r="S361" i="1"/>
  <c r="R361" i="1"/>
  <c r="Q361" i="1"/>
  <c r="T360" i="1"/>
  <c r="S360" i="1"/>
  <c r="R360" i="1"/>
  <c r="Q360" i="1"/>
  <c r="T359" i="1"/>
  <c r="S359" i="1"/>
  <c r="R359" i="1"/>
  <c r="Q359" i="1"/>
  <c r="T358" i="1"/>
  <c r="S358" i="1"/>
  <c r="R358" i="1"/>
  <c r="Q358" i="1"/>
  <c r="T357" i="1"/>
  <c r="S357" i="1"/>
  <c r="R357" i="1"/>
  <c r="Q357" i="1"/>
  <c r="T356" i="1"/>
  <c r="S356" i="1"/>
  <c r="R356" i="1"/>
  <c r="Q356" i="1"/>
  <c r="T355" i="1"/>
  <c r="S355" i="1"/>
  <c r="R355" i="1"/>
  <c r="Q355" i="1"/>
  <c r="T354" i="1"/>
  <c r="S354" i="1"/>
  <c r="R354" i="1"/>
  <c r="Q354" i="1"/>
  <c r="T353" i="1"/>
  <c r="S353" i="1"/>
  <c r="R353" i="1"/>
  <c r="Q353" i="1"/>
  <c r="T352" i="1"/>
  <c r="S352" i="1"/>
  <c r="R352" i="1"/>
  <c r="Q352" i="1"/>
  <c r="T351" i="1"/>
  <c r="S351" i="1"/>
  <c r="R351" i="1"/>
  <c r="Q351" i="1"/>
  <c r="T350" i="1"/>
  <c r="S350" i="1"/>
  <c r="R350" i="1"/>
  <c r="Q350" i="1"/>
  <c r="T349" i="1"/>
  <c r="S349" i="1"/>
  <c r="R349" i="1"/>
  <c r="Q349" i="1"/>
  <c r="T348" i="1"/>
  <c r="S348" i="1"/>
  <c r="R348" i="1"/>
  <c r="Q348" i="1"/>
  <c r="T347" i="1"/>
  <c r="S347" i="1"/>
  <c r="R347" i="1"/>
  <c r="Q347" i="1"/>
  <c r="T346" i="1"/>
  <c r="S346" i="1"/>
  <c r="R346" i="1"/>
  <c r="Q346" i="1"/>
  <c r="T345" i="1"/>
  <c r="S345" i="1"/>
  <c r="R345" i="1"/>
  <c r="Q345" i="1"/>
  <c r="T344" i="1"/>
  <c r="S344" i="1"/>
  <c r="R344" i="1"/>
  <c r="Q344" i="1"/>
  <c r="T343" i="1"/>
  <c r="S343" i="1"/>
  <c r="R343" i="1"/>
  <c r="Q343" i="1"/>
  <c r="T342" i="1"/>
  <c r="S342" i="1"/>
  <c r="R342" i="1"/>
  <c r="Q342" i="1"/>
  <c r="T341" i="1"/>
  <c r="S341" i="1"/>
  <c r="R341" i="1"/>
  <c r="Q341" i="1"/>
  <c r="T340" i="1"/>
  <c r="S340" i="1"/>
  <c r="R340" i="1"/>
  <c r="Q340" i="1"/>
  <c r="T339" i="1"/>
  <c r="S339" i="1"/>
  <c r="R339" i="1"/>
  <c r="Q339" i="1"/>
  <c r="T338" i="1"/>
  <c r="S338" i="1"/>
  <c r="R338" i="1"/>
  <c r="Q338" i="1"/>
  <c r="T337" i="1"/>
  <c r="S337" i="1"/>
  <c r="R337" i="1"/>
  <c r="Q337" i="1"/>
  <c r="T336" i="1"/>
  <c r="S336" i="1"/>
  <c r="R336" i="1"/>
  <c r="Q336" i="1"/>
  <c r="T335" i="1"/>
  <c r="S335" i="1"/>
  <c r="R335" i="1"/>
  <c r="Q335" i="1"/>
  <c r="T334" i="1"/>
  <c r="S334" i="1"/>
  <c r="R334" i="1"/>
  <c r="Q334" i="1"/>
  <c r="T333" i="1"/>
  <c r="S333" i="1"/>
  <c r="R333" i="1"/>
  <c r="Q333" i="1"/>
  <c r="T332" i="1"/>
  <c r="S332" i="1"/>
  <c r="R332" i="1"/>
  <c r="Q332" i="1"/>
  <c r="T331" i="1"/>
  <c r="S331" i="1"/>
  <c r="R331" i="1"/>
  <c r="Q331" i="1"/>
  <c r="T330" i="1"/>
  <c r="S330" i="1"/>
  <c r="R330" i="1"/>
  <c r="Q330" i="1"/>
  <c r="T329" i="1"/>
  <c r="S329" i="1"/>
  <c r="R329" i="1"/>
  <c r="Q329" i="1"/>
  <c r="T328" i="1"/>
  <c r="S328" i="1"/>
  <c r="R328" i="1"/>
  <c r="Q328" i="1"/>
  <c r="T327" i="1"/>
  <c r="S327" i="1"/>
  <c r="R327" i="1"/>
  <c r="Q327" i="1"/>
  <c r="T326" i="1"/>
  <c r="S326" i="1"/>
  <c r="R326" i="1"/>
  <c r="Q326" i="1"/>
  <c r="T325" i="1"/>
  <c r="S325" i="1"/>
  <c r="R325" i="1"/>
  <c r="Q325" i="1"/>
  <c r="T324" i="1"/>
  <c r="S324" i="1"/>
  <c r="R324" i="1"/>
  <c r="Q324" i="1"/>
  <c r="T323" i="1"/>
  <c r="S323" i="1"/>
  <c r="R323" i="1"/>
  <c r="Q323" i="1"/>
  <c r="T322" i="1"/>
  <c r="S322" i="1"/>
  <c r="R322" i="1"/>
  <c r="Q322" i="1"/>
  <c r="T321" i="1"/>
  <c r="S321" i="1"/>
  <c r="R321" i="1"/>
  <c r="Q321" i="1"/>
  <c r="T320" i="1"/>
  <c r="S320" i="1"/>
  <c r="R320" i="1"/>
  <c r="Q320" i="1"/>
  <c r="T319" i="1"/>
  <c r="S319" i="1"/>
  <c r="R319" i="1"/>
  <c r="Q319" i="1"/>
  <c r="T318" i="1"/>
  <c r="S318" i="1"/>
  <c r="R318" i="1"/>
  <c r="Q318" i="1"/>
  <c r="T317" i="1"/>
  <c r="S317" i="1"/>
  <c r="R317" i="1"/>
  <c r="Q317" i="1"/>
  <c r="T316" i="1"/>
  <c r="S316" i="1"/>
  <c r="R316" i="1"/>
  <c r="Q316" i="1"/>
  <c r="T315" i="1"/>
  <c r="S315" i="1"/>
  <c r="R315" i="1"/>
  <c r="Q315" i="1"/>
  <c r="T314" i="1"/>
  <c r="S314" i="1"/>
  <c r="R314" i="1"/>
  <c r="Q314" i="1"/>
  <c r="T313" i="1"/>
  <c r="S313" i="1"/>
  <c r="R313" i="1"/>
  <c r="Q313" i="1"/>
  <c r="T312" i="1"/>
  <c r="S312" i="1"/>
  <c r="R312" i="1"/>
  <c r="Q312" i="1"/>
  <c r="T311" i="1"/>
  <c r="S311" i="1"/>
  <c r="R311" i="1"/>
  <c r="Q311" i="1"/>
  <c r="T310" i="1"/>
  <c r="S310" i="1"/>
  <c r="R310" i="1"/>
  <c r="Q310" i="1"/>
  <c r="T309" i="1"/>
  <c r="S309" i="1"/>
  <c r="R309" i="1"/>
  <c r="Q309" i="1"/>
  <c r="T308" i="1"/>
  <c r="S308" i="1"/>
  <c r="R308" i="1"/>
  <c r="Q308" i="1"/>
  <c r="T307" i="1"/>
  <c r="S307" i="1"/>
  <c r="R307" i="1"/>
  <c r="Q307" i="1"/>
  <c r="T306" i="1"/>
  <c r="S306" i="1"/>
  <c r="R306" i="1"/>
  <c r="Q306" i="1"/>
  <c r="T305" i="1"/>
  <c r="S305" i="1"/>
  <c r="R305" i="1"/>
  <c r="Q305" i="1"/>
  <c r="T304" i="1"/>
  <c r="S304" i="1"/>
  <c r="R304" i="1"/>
  <c r="Q304" i="1"/>
  <c r="T303" i="1"/>
  <c r="S303" i="1"/>
  <c r="R303" i="1"/>
  <c r="Q303" i="1"/>
  <c r="T302" i="1"/>
  <c r="S302" i="1"/>
  <c r="R302" i="1"/>
  <c r="Q302" i="1"/>
  <c r="T301" i="1"/>
  <c r="S301" i="1"/>
  <c r="R301" i="1"/>
  <c r="Q301" i="1"/>
  <c r="T300" i="1"/>
  <c r="S300" i="1"/>
  <c r="R300" i="1"/>
  <c r="Q300" i="1"/>
  <c r="T299" i="1"/>
  <c r="S299" i="1"/>
  <c r="R299" i="1"/>
  <c r="Q299" i="1"/>
  <c r="T298" i="1"/>
  <c r="S298" i="1"/>
  <c r="R298" i="1"/>
  <c r="Q298" i="1"/>
  <c r="T297" i="1"/>
  <c r="S297" i="1"/>
  <c r="R297" i="1"/>
  <c r="Q297" i="1"/>
  <c r="T296" i="1"/>
  <c r="S296" i="1"/>
  <c r="R296" i="1"/>
  <c r="Q296" i="1"/>
  <c r="T295" i="1"/>
  <c r="S295" i="1"/>
  <c r="R295" i="1"/>
  <c r="Q295" i="1"/>
  <c r="T294" i="1"/>
  <c r="S294" i="1"/>
  <c r="R294" i="1"/>
  <c r="Q294" i="1"/>
  <c r="T293" i="1"/>
  <c r="S293" i="1"/>
  <c r="R293" i="1"/>
  <c r="Q293" i="1"/>
  <c r="T292" i="1"/>
  <c r="S292" i="1"/>
  <c r="R292" i="1"/>
  <c r="Q292" i="1"/>
  <c r="T291" i="1"/>
  <c r="S291" i="1"/>
  <c r="R291" i="1"/>
  <c r="Q291" i="1"/>
  <c r="T290" i="1"/>
  <c r="S290" i="1"/>
  <c r="R290" i="1"/>
  <c r="Q290" i="1"/>
  <c r="T289" i="1"/>
  <c r="S289" i="1"/>
  <c r="R289" i="1"/>
  <c r="Q289" i="1"/>
  <c r="T288" i="1"/>
  <c r="S288" i="1"/>
  <c r="R288" i="1"/>
  <c r="Q288" i="1"/>
  <c r="T287" i="1"/>
  <c r="S287" i="1"/>
  <c r="R287" i="1"/>
  <c r="Q287" i="1"/>
  <c r="T286" i="1"/>
  <c r="S286" i="1"/>
  <c r="R286" i="1"/>
  <c r="Q286" i="1"/>
  <c r="T285" i="1"/>
  <c r="S285" i="1"/>
  <c r="R285" i="1"/>
  <c r="Q285" i="1"/>
  <c r="T284" i="1"/>
  <c r="S284" i="1"/>
  <c r="R284" i="1"/>
  <c r="Q284" i="1"/>
  <c r="T283" i="1"/>
  <c r="S283" i="1"/>
  <c r="R283" i="1"/>
  <c r="Q283" i="1"/>
  <c r="T282" i="1"/>
  <c r="S282" i="1"/>
  <c r="R282" i="1"/>
  <c r="Q282" i="1"/>
  <c r="T281" i="1"/>
  <c r="S281" i="1"/>
  <c r="R281" i="1"/>
  <c r="Q281" i="1"/>
  <c r="T280" i="1"/>
  <c r="S280" i="1"/>
  <c r="R280" i="1"/>
  <c r="Q280" i="1"/>
  <c r="T279" i="1"/>
  <c r="S279" i="1"/>
  <c r="R279" i="1"/>
  <c r="Q279" i="1"/>
  <c r="T278" i="1"/>
  <c r="S278" i="1"/>
  <c r="R278" i="1"/>
  <c r="Q278" i="1"/>
  <c r="T277" i="1"/>
  <c r="S277" i="1"/>
  <c r="R277" i="1"/>
  <c r="Q277" i="1"/>
  <c r="T276" i="1"/>
  <c r="S276" i="1"/>
  <c r="R276" i="1"/>
  <c r="Q276" i="1"/>
  <c r="T275" i="1"/>
  <c r="S275" i="1"/>
  <c r="R275" i="1"/>
  <c r="Q275" i="1"/>
  <c r="T274" i="1"/>
  <c r="S274" i="1"/>
  <c r="R274" i="1"/>
  <c r="Q274" i="1"/>
  <c r="T273" i="1"/>
  <c r="S273" i="1"/>
  <c r="R273" i="1"/>
  <c r="Q273" i="1"/>
  <c r="T272" i="1"/>
  <c r="S272" i="1"/>
  <c r="R272" i="1"/>
  <c r="Q272" i="1"/>
  <c r="T271" i="1"/>
  <c r="S271" i="1"/>
  <c r="R271" i="1"/>
  <c r="Q271" i="1"/>
  <c r="T270" i="1"/>
  <c r="S270" i="1"/>
  <c r="R270" i="1"/>
  <c r="Q270" i="1"/>
  <c r="T269" i="1"/>
  <c r="S269" i="1"/>
  <c r="R269" i="1"/>
  <c r="Q269" i="1"/>
  <c r="T268" i="1"/>
  <c r="S268" i="1"/>
  <c r="R268" i="1"/>
  <c r="Q268" i="1"/>
  <c r="T267" i="1"/>
  <c r="S267" i="1"/>
  <c r="R267" i="1"/>
  <c r="Q267" i="1"/>
  <c r="T266" i="1"/>
  <c r="S266" i="1"/>
  <c r="R266" i="1"/>
  <c r="Q266" i="1"/>
  <c r="T265" i="1"/>
  <c r="S265" i="1"/>
  <c r="R265" i="1"/>
  <c r="Q265" i="1"/>
  <c r="T264" i="1"/>
  <c r="S264" i="1"/>
  <c r="R264" i="1"/>
  <c r="Q264" i="1"/>
  <c r="T263" i="1"/>
  <c r="S263" i="1"/>
  <c r="R263" i="1"/>
  <c r="Q263" i="1"/>
  <c r="T262" i="1"/>
  <c r="S262" i="1"/>
  <c r="R262" i="1"/>
  <c r="Q262" i="1"/>
  <c r="T261" i="1"/>
  <c r="S261" i="1"/>
  <c r="R261" i="1"/>
  <c r="Q261" i="1"/>
  <c r="T260" i="1"/>
  <c r="S260" i="1"/>
  <c r="R260" i="1"/>
  <c r="Q260" i="1"/>
  <c r="T259" i="1"/>
  <c r="S259" i="1"/>
  <c r="R259" i="1"/>
  <c r="Q259" i="1"/>
  <c r="T258" i="1"/>
  <c r="S258" i="1"/>
  <c r="R258" i="1"/>
  <c r="Q258" i="1"/>
  <c r="T257" i="1"/>
  <c r="S257" i="1"/>
  <c r="R257" i="1"/>
  <c r="Q257" i="1"/>
  <c r="T256" i="1"/>
  <c r="S256" i="1"/>
  <c r="R256" i="1"/>
  <c r="Q256" i="1"/>
  <c r="T255" i="1"/>
  <c r="S255" i="1"/>
  <c r="R255" i="1"/>
  <c r="Q255" i="1"/>
  <c r="T254" i="1"/>
  <c r="S254" i="1"/>
  <c r="R254" i="1"/>
  <c r="Q254" i="1"/>
  <c r="T253" i="1"/>
  <c r="S253" i="1"/>
  <c r="R253" i="1"/>
  <c r="Q253" i="1"/>
  <c r="T252" i="1"/>
  <c r="S252" i="1"/>
  <c r="R252" i="1"/>
  <c r="Q252" i="1"/>
  <c r="T251" i="1"/>
  <c r="S251" i="1"/>
  <c r="R251" i="1"/>
  <c r="Q251" i="1"/>
  <c r="T250" i="1"/>
  <c r="S250" i="1"/>
  <c r="R250" i="1"/>
  <c r="Q250" i="1"/>
  <c r="T249" i="1"/>
  <c r="S249" i="1"/>
  <c r="R249" i="1"/>
  <c r="Q249" i="1"/>
  <c r="T248" i="1"/>
  <c r="S248" i="1"/>
  <c r="R248" i="1"/>
  <c r="Q248" i="1"/>
  <c r="T247" i="1"/>
  <c r="S247" i="1"/>
  <c r="R247" i="1"/>
  <c r="Q247" i="1"/>
  <c r="T246" i="1"/>
  <c r="S246" i="1"/>
  <c r="R246" i="1"/>
  <c r="Q246" i="1"/>
  <c r="T245" i="1"/>
  <c r="S245" i="1"/>
  <c r="R245" i="1"/>
  <c r="Q245" i="1"/>
  <c r="T244" i="1"/>
  <c r="S244" i="1"/>
  <c r="R244" i="1"/>
  <c r="Q244" i="1"/>
  <c r="T243" i="1"/>
  <c r="S243" i="1"/>
  <c r="R243" i="1"/>
  <c r="Q243" i="1"/>
  <c r="T242" i="1"/>
  <c r="S242" i="1"/>
  <c r="R242" i="1"/>
  <c r="Q242" i="1"/>
  <c r="T241" i="1"/>
  <c r="S241" i="1"/>
  <c r="R241" i="1"/>
  <c r="Q241" i="1"/>
  <c r="T240" i="1"/>
  <c r="S240" i="1"/>
  <c r="R240" i="1"/>
  <c r="Q240" i="1"/>
  <c r="T239" i="1"/>
  <c r="S239" i="1"/>
  <c r="R239" i="1"/>
  <c r="Q239" i="1"/>
  <c r="T238" i="1"/>
  <c r="S238" i="1"/>
  <c r="R238" i="1"/>
  <c r="Q238" i="1"/>
  <c r="T237" i="1"/>
  <c r="S237" i="1"/>
  <c r="R237" i="1"/>
  <c r="Q237" i="1"/>
  <c r="T236" i="1"/>
  <c r="S236" i="1"/>
  <c r="R236" i="1"/>
  <c r="Q236" i="1"/>
  <c r="T235" i="1"/>
  <c r="S235" i="1"/>
  <c r="R235" i="1"/>
  <c r="Q235" i="1"/>
  <c r="T234" i="1"/>
  <c r="S234" i="1"/>
  <c r="R234" i="1"/>
  <c r="Q234" i="1"/>
  <c r="T233" i="1"/>
  <c r="S233" i="1"/>
  <c r="R233" i="1"/>
  <c r="Q233" i="1"/>
  <c r="T232" i="1"/>
  <c r="S232" i="1"/>
  <c r="R232" i="1"/>
  <c r="Q232" i="1"/>
  <c r="T231" i="1"/>
  <c r="S231" i="1"/>
  <c r="R231" i="1"/>
  <c r="Q231" i="1"/>
  <c r="T230" i="1"/>
  <c r="S230" i="1"/>
  <c r="R230" i="1"/>
  <c r="Q230" i="1"/>
  <c r="T229" i="1"/>
  <c r="S229" i="1"/>
  <c r="R229" i="1"/>
  <c r="Q229" i="1"/>
  <c r="T228" i="1"/>
  <c r="S228" i="1"/>
  <c r="R228" i="1"/>
  <c r="Q228" i="1"/>
  <c r="T227" i="1"/>
  <c r="S227" i="1"/>
  <c r="R227" i="1"/>
  <c r="Q227" i="1"/>
  <c r="T226" i="1"/>
  <c r="S226" i="1"/>
  <c r="R226" i="1"/>
  <c r="Q226" i="1"/>
  <c r="T225" i="1"/>
  <c r="S225" i="1"/>
  <c r="R225" i="1"/>
  <c r="Q225" i="1"/>
  <c r="T224" i="1"/>
  <c r="S224" i="1"/>
  <c r="R224" i="1"/>
  <c r="Q224" i="1"/>
  <c r="T223" i="1"/>
  <c r="S223" i="1"/>
  <c r="R223" i="1"/>
  <c r="Q223" i="1"/>
  <c r="T222" i="1"/>
  <c r="S222" i="1"/>
  <c r="R222" i="1"/>
  <c r="Q222" i="1"/>
  <c r="T221" i="1"/>
  <c r="S221" i="1"/>
  <c r="R221" i="1"/>
  <c r="Q221" i="1"/>
  <c r="T220" i="1"/>
  <c r="S220" i="1"/>
  <c r="R220" i="1"/>
  <c r="Q220" i="1"/>
  <c r="T219" i="1"/>
  <c r="S219" i="1"/>
  <c r="R219" i="1"/>
  <c r="Q219" i="1"/>
  <c r="T218" i="1"/>
  <c r="S218" i="1"/>
  <c r="R218" i="1"/>
  <c r="Q218" i="1"/>
  <c r="T217" i="1"/>
  <c r="S217" i="1"/>
  <c r="R217" i="1"/>
  <c r="Q217" i="1"/>
  <c r="T216" i="1"/>
  <c r="S216" i="1"/>
  <c r="R216" i="1"/>
  <c r="Q216" i="1"/>
  <c r="T215" i="1"/>
  <c r="S215" i="1"/>
  <c r="R215" i="1"/>
  <c r="Q215" i="1"/>
  <c r="T214" i="1"/>
  <c r="S214" i="1"/>
  <c r="R214" i="1"/>
  <c r="Q214" i="1"/>
  <c r="T213" i="1"/>
  <c r="S213" i="1"/>
  <c r="R213" i="1"/>
  <c r="Q213" i="1"/>
  <c r="T212" i="1"/>
  <c r="S212" i="1"/>
  <c r="R212" i="1"/>
  <c r="Q212" i="1"/>
  <c r="T211" i="1"/>
  <c r="S211" i="1"/>
  <c r="R211" i="1"/>
  <c r="Q211" i="1"/>
  <c r="T210" i="1"/>
  <c r="S210" i="1"/>
  <c r="R210" i="1"/>
  <c r="Q210" i="1"/>
  <c r="T209" i="1"/>
  <c r="S209" i="1"/>
  <c r="R209" i="1"/>
  <c r="Q209" i="1"/>
  <c r="T208" i="1"/>
  <c r="S208" i="1"/>
  <c r="R208" i="1"/>
  <c r="Q208" i="1"/>
  <c r="T207" i="1"/>
  <c r="S207" i="1"/>
  <c r="R207" i="1"/>
  <c r="Q207" i="1"/>
  <c r="T206" i="1"/>
  <c r="S206" i="1"/>
  <c r="R206" i="1"/>
  <c r="Q206" i="1"/>
  <c r="T205" i="1"/>
  <c r="S205" i="1"/>
  <c r="R205" i="1"/>
  <c r="Q205" i="1"/>
  <c r="T204" i="1"/>
  <c r="S204" i="1"/>
  <c r="R204" i="1"/>
  <c r="Q204" i="1"/>
  <c r="T203" i="1"/>
  <c r="S203" i="1"/>
  <c r="R203" i="1"/>
  <c r="Q203" i="1"/>
  <c r="T202" i="1"/>
  <c r="S202" i="1"/>
  <c r="R202" i="1"/>
  <c r="Q202" i="1"/>
  <c r="T201" i="1"/>
  <c r="S201" i="1"/>
  <c r="R201" i="1"/>
  <c r="Q201" i="1"/>
  <c r="T200" i="1"/>
  <c r="S200" i="1"/>
  <c r="R200" i="1"/>
  <c r="Q200" i="1"/>
  <c r="T199" i="1"/>
  <c r="S199" i="1"/>
  <c r="R199" i="1"/>
  <c r="Q199" i="1"/>
  <c r="T198" i="1"/>
  <c r="S198" i="1"/>
  <c r="R198" i="1"/>
  <c r="Q198" i="1"/>
  <c r="T197" i="1"/>
  <c r="S197" i="1"/>
  <c r="R197" i="1"/>
  <c r="Q197" i="1"/>
  <c r="T196" i="1"/>
  <c r="S196" i="1"/>
  <c r="R196" i="1"/>
  <c r="Q196" i="1"/>
  <c r="T195" i="1"/>
  <c r="S195" i="1"/>
  <c r="R195" i="1"/>
  <c r="Q195" i="1"/>
  <c r="T194" i="1"/>
  <c r="S194" i="1"/>
  <c r="R194" i="1"/>
  <c r="Q194" i="1"/>
  <c r="T193" i="1"/>
  <c r="S193" i="1"/>
  <c r="R193" i="1"/>
  <c r="Q193" i="1"/>
  <c r="T192" i="1"/>
  <c r="S192" i="1"/>
  <c r="R192" i="1"/>
  <c r="Q192" i="1"/>
  <c r="T191" i="1"/>
  <c r="S191" i="1"/>
  <c r="R191" i="1"/>
  <c r="Q191" i="1"/>
  <c r="T190" i="1"/>
  <c r="S190" i="1"/>
  <c r="R190" i="1"/>
  <c r="Q190" i="1"/>
  <c r="T189" i="1"/>
  <c r="S189" i="1"/>
  <c r="R189" i="1"/>
  <c r="Q189" i="1"/>
  <c r="T188" i="1"/>
  <c r="S188" i="1"/>
  <c r="R188" i="1"/>
  <c r="Q188" i="1"/>
  <c r="T187" i="1"/>
  <c r="S187" i="1"/>
  <c r="R187" i="1"/>
  <c r="Q187" i="1"/>
  <c r="T186" i="1"/>
  <c r="S186" i="1"/>
  <c r="R186" i="1"/>
  <c r="Q186" i="1"/>
  <c r="T185" i="1"/>
  <c r="S185" i="1"/>
  <c r="R185" i="1"/>
  <c r="Q185" i="1"/>
  <c r="T184" i="1"/>
  <c r="S184" i="1"/>
  <c r="R184" i="1"/>
  <c r="Q184" i="1"/>
  <c r="T183" i="1"/>
  <c r="S183" i="1"/>
  <c r="R183" i="1"/>
  <c r="Q183" i="1"/>
  <c r="T182" i="1"/>
  <c r="S182" i="1"/>
  <c r="R182" i="1"/>
  <c r="Q182" i="1"/>
  <c r="T181" i="1"/>
  <c r="S181" i="1"/>
  <c r="R181" i="1"/>
  <c r="Q181" i="1"/>
  <c r="T180" i="1"/>
  <c r="S180" i="1"/>
  <c r="R180" i="1"/>
  <c r="Q180" i="1"/>
  <c r="T179" i="1"/>
  <c r="S179" i="1"/>
  <c r="R179" i="1"/>
  <c r="Q179" i="1"/>
  <c r="T178" i="1"/>
  <c r="S178" i="1"/>
  <c r="R178" i="1"/>
  <c r="Q178" i="1"/>
  <c r="T177" i="1"/>
  <c r="S177" i="1"/>
  <c r="R177" i="1"/>
  <c r="Q177" i="1"/>
  <c r="T176" i="1"/>
  <c r="S176" i="1"/>
  <c r="R176" i="1"/>
  <c r="Q176" i="1"/>
  <c r="T175" i="1"/>
  <c r="S175" i="1"/>
  <c r="R175" i="1"/>
  <c r="Q175" i="1"/>
  <c r="T174" i="1"/>
  <c r="S174" i="1"/>
  <c r="R174" i="1"/>
  <c r="Q174" i="1"/>
  <c r="T173" i="1"/>
  <c r="S173" i="1"/>
  <c r="R173" i="1"/>
  <c r="Q173" i="1"/>
  <c r="T172" i="1"/>
  <c r="S172" i="1"/>
  <c r="R172" i="1"/>
  <c r="Q172" i="1"/>
  <c r="T171" i="1"/>
  <c r="S171" i="1"/>
  <c r="R171" i="1"/>
  <c r="Q171" i="1"/>
  <c r="T170" i="1"/>
  <c r="S170" i="1"/>
  <c r="R170" i="1"/>
  <c r="Q170" i="1"/>
  <c r="T169" i="1"/>
  <c r="S169" i="1"/>
  <c r="R169" i="1"/>
  <c r="Q169" i="1"/>
  <c r="T168" i="1"/>
  <c r="S168" i="1"/>
  <c r="R168" i="1"/>
  <c r="Q168" i="1"/>
  <c r="T167" i="1"/>
  <c r="S167" i="1"/>
  <c r="R167" i="1"/>
  <c r="Q167" i="1"/>
  <c r="T166" i="1"/>
  <c r="S166" i="1"/>
  <c r="R166" i="1"/>
  <c r="Q166" i="1"/>
  <c r="T165" i="1"/>
  <c r="S165" i="1"/>
  <c r="R165" i="1"/>
  <c r="Q165" i="1"/>
  <c r="T164" i="1"/>
  <c r="S164" i="1"/>
  <c r="R164" i="1"/>
  <c r="Q164" i="1"/>
  <c r="T163" i="1"/>
  <c r="S163" i="1"/>
  <c r="R163" i="1"/>
  <c r="Q163" i="1"/>
  <c r="T162" i="1"/>
  <c r="S162" i="1"/>
  <c r="R162" i="1"/>
  <c r="Q162" i="1"/>
  <c r="T161" i="1"/>
  <c r="S161" i="1"/>
  <c r="R161" i="1"/>
  <c r="Q161" i="1"/>
  <c r="T160" i="1"/>
  <c r="S160" i="1"/>
  <c r="R160" i="1"/>
  <c r="Q160" i="1"/>
  <c r="T159" i="1"/>
  <c r="S159" i="1"/>
  <c r="R159" i="1"/>
  <c r="Q159" i="1"/>
  <c r="T158" i="1"/>
  <c r="S158" i="1"/>
  <c r="R158" i="1"/>
  <c r="Q158" i="1"/>
  <c r="T157" i="1"/>
  <c r="S157" i="1"/>
  <c r="R157" i="1"/>
  <c r="Q157" i="1"/>
  <c r="T156" i="1"/>
  <c r="S156" i="1"/>
  <c r="R156" i="1"/>
  <c r="Q156" i="1"/>
  <c r="T155" i="1"/>
  <c r="S155" i="1"/>
  <c r="R155" i="1"/>
  <c r="Q155" i="1"/>
  <c r="T154" i="1"/>
  <c r="S154" i="1"/>
  <c r="R154" i="1"/>
  <c r="Q154" i="1"/>
  <c r="T153" i="1"/>
  <c r="S153" i="1"/>
  <c r="R153" i="1"/>
  <c r="Q153" i="1"/>
  <c r="T152" i="1"/>
  <c r="S152" i="1"/>
  <c r="R152" i="1"/>
  <c r="Q152" i="1"/>
  <c r="T151" i="1"/>
  <c r="S151" i="1"/>
  <c r="R151" i="1"/>
  <c r="Q151" i="1"/>
  <c r="T150" i="1"/>
  <c r="S150" i="1"/>
  <c r="R150" i="1"/>
  <c r="Q150" i="1"/>
  <c r="T149" i="1"/>
  <c r="S149" i="1"/>
  <c r="R149" i="1"/>
  <c r="Q149" i="1"/>
  <c r="T148" i="1"/>
  <c r="S148" i="1"/>
  <c r="R148" i="1"/>
  <c r="Q148" i="1"/>
  <c r="T147" i="1"/>
  <c r="S147" i="1"/>
  <c r="R147" i="1"/>
  <c r="Q147" i="1"/>
  <c r="T146" i="1"/>
  <c r="S146" i="1"/>
  <c r="R146" i="1"/>
  <c r="Q146" i="1"/>
  <c r="T145" i="1"/>
  <c r="S145" i="1"/>
  <c r="R145" i="1"/>
  <c r="Q145" i="1"/>
  <c r="T144" i="1"/>
  <c r="S144" i="1"/>
  <c r="R144" i="1"/>
  <c r="Q144" i="1"/>
  <c r="T143" i="1"/>
  <c r="S143" i="1"/>
  <c r="R143" i="1"/>
  <c r="Q143" i="1"/>
  <c r="T142" i="1"/>
  <c r="S142" i="1"/>
  <c r="R142" i="1"/>
  <c r="Q142" i="1"/>
  <c r="T141" i="1"/>
  <c r="S141" i="1"/>
  <c r="R141" i="1"/>
  <c r="Q141" i="1"/>
  <c r="T140" i="1"/>
  <c r="S140" i="1"/>
  <c r="R140" i="1"/>
  <c r="Q140" i="1"/>
  <c r="T139" i="1"/>
  <c r="S139" i="1"/>
  <c r="R139" i="1"/>
  <c r="Q139" i="1"/>
  <c r="T138" i="1"/>
  <c r="S138" i="1"/>
  <c r="R138" i="1"/>
  <c r="Q138" i="1"/>
  <c r="T137" i="1"/>
  <c r="S137" i="1"/>
  <c r="R137" i="1"/>
  <c r="Q137" i="1"/>
  <c r="T136" i="1"/>
  <c r="S136" i="1"/>
  <c r="R136" i="1"/>
  <c r="Q136" i="1"/>
  <c r="T135" i="1"/>
  <c r="S135" i="1"/>
  <c r="R135" i="1"/>
  <c r="Q135" i="1"/>
  <c r="T134" i="1"/>
  <c r="S134" i="1"/>
  <c r="R134" i="1"/>
  <c r="Q134" i="1"/>
  <c r="T133" i="1"/>
  <c r="S133" i="1"/>
  <c r="R133" i="1"/>
  <c r="Q133" i="1"/>
  <c r="T132" i="1"/>
  <c r="S132" i="1"/>
  <c r="R132" i="1"/>
  <c r="Q132" i="1"/>
  <c r="T131" i="1"/>
  <c r="S131" i="1"/>
  <c r="R131" i="1"/>
  <c r="Q131" i="1"/>
  <c r="T130" i="1"/>
  <c r="S130" i="1"/>
  <c r="R130" i="1"/>
  <c r="Q130" i="1"/>
  <c r="T129" i="1"/>
  <c r="S129" i="1"/>
  <c r="R129" i="1"/>
  <c r="Q129" i="1"/>
  <c r="T128" i="1"/>
  <c r="S128" i="1"/>
  <c r="R128" i="1"/>
  <c r="Q128" i="1"/>
  <c r="T127" i="1"/>
  <c r="S127" i="1"/>
  <c r="R127" i="1"/>
  <c r="Q127" i="1"/>
  <c r="T126" i="1"/>
  <c r="S126" i="1"/>
  <c r="R126" i="1"/>
  <c r="Q126" i="1"/>
  <c r="T125" i="1"/>
  <c r="S125" i="1"/>
  <c r="R125" i="1"/>
  <c r="Q125" i="1"/>
  <c r="T124" i="1"/>
  <c r="S124" i="1"/>
  <c r="R124" i="1"/>
  <c r="Q124" i="1"/>
  <c r="T123" i="1"/>
  <c r="S123" i="1"/>
  <c r="R123" i="1"/>
  <c r="Q123" i="1"/>
  <c r="T122" i="1"/>
  <c r="S122" i="1"/>
  <c r="R122" i="1"/>
  <c r="Q122" i="1"/>
  <c r="T121" i="1"/>
  <c r="S121" i="1"/>
  <c r="R121" i="1"/>
  <c r="Q121" i="1"/>
  <c r="T120" i="1"/>
  <c r="S120" i="1"/>
  <c r="R120" i="1"/>
  <c r="Q120" i="1"/>
  <c r="T119" i="1"/>
  <c r="S119" i="1"/>
  <c r="R119" i="1"/>
  <c r="Q119" i="1"/>
  <c r="T118" i="1"/>
  <c r="S118" i="1"/>
  <c r="R118" i="1"/>
  <c r="Q118" i="1"/>
  <c r="T117" i="1"/>
  <c r="S117" i="1"/>
  <c r="R117" i="1"/>
  <c r="Q117" i="1"/>
  <c r="T116" i="1"/>
  <c r="S116" i="1"/>
  <c r="R116" i="1"/>
  <c r="Q116" i="1"/>
  <c r="T115" i="1"/>
  <c r="S115" i="1"/>
  <c r="R115" i="1"/>
  <c r="Q115" i="1"/>
  <c r="T114" i="1"/>
  <c r="S114" i="1"/>
  <c r="R114" i="1"/>
  <c r="Q114" i="1"/>
  <c r="T113" i="1"/>
  <c r="S113" i="1"/>
  <c r="R113" i="1"/>
  <c r="Q113" i="1"/>
  <c r="T112" i="1"/>
  <c r="S112" i="1"/>
  <c r="R112" i="1"/>
  <c r="Q112" i="1"/>
  <c r="T111" i="1"/>
  <c r="S111" i="1"/>
  <c r="R111" i="1"/>
  <c r="Q111" i="1"/>
  <c r="T110" i="1"/>
  <c r="S110" i="1"/>
  <c r="R110" i="1"/>
  <c r="Q110" i="1"/>
  <c r="T109" i="1"/>
  <c r="S109" i="1"/>
  <c r="R109" i="1"/>
  <c r="Q109" i="1"/>
  <c r="T108" i="1"/>
  <c r="S108" i="1"/>
  <c r="R108" i="1"/>
  <c r="Q108" i="1"/>
  <c r="T107" i="1"/>
  <c r="S107" i="1"/>
  <c r="R107" i="1"/>
  <c r="Q107" i="1"/>
  <c r="T106" i="1"/>
  <c r="S106" i="1"/>
  <c r="R106" i="1"/>
  <c r="Q106" i="1"/>
  <c r="T105" i="1"/>
  <c r="S105" i="1"/>
  <c r="R105" i="1"/>
  <c r="Q105" i="1"/>
  <c r="T104" i="1"/>
  <c r="S104" i="1"/>
  <c r="R104" i="1"/>
  <c r="Q104" i="1"/>
  <c r="T103" i="1"/>
  <c r="S103" i="1"/>
  <c r="R103" i="1"/>
  <c r="Q103" i="1"/>
  <c r="T102" i="1"/>
  <c r="S102" i="1"/>
  <c r="R102" i="1"/>
  <c r="Q102" i="1"/>
  <c r="T101" i="1"/>
  <c r="S101" i="1"/>
  <c r="R101" i="1"/>
  <c r="Q101" i="1"/>
  <c r="T100" i="1"/>
  <c r="S100" i="1"/>
  <c r="R100" i="1"/>
  <c r="Q100" i="1"/>
  <c r="T99" i="1"/>
  <c r="S99" i="1"/>
  <c r="R99" i="1"/>
  <c r="Q99" i="1"/>
  <c r="T98" i="1"/>
  <c r="S98" i="1"/>
  <c r="R98" i="1"/>
  <c r="Q98" i="1"/>
  <c r="T97" i="1"/>
  <c r="S97" i="1"/>
  <c r="R97" i="1"/>
  <c r="Q97" i="1"/>
  <c r="T96" i="1"/>
  <c r="S96" i="1"/>
  <c r="R96" i="1"/>
  <c r="Q96" i="1"/>
  <c r="T95" i="1"/>
  <c r="S95" i="1"/>
  <c r="R95" i="1"/>
  <c r="Q95" i="1"/>
  <c r="T94" i="1"/>
  <c r="S94" i="1"/>
  <c r="R94" i="1"/>
  <c r="Q94" i="1"/>
  <c r="T93" i="1"/>
  <c r="S93" i="1"/>
  <c r="R93" i="1"/>
  <c r="Q93" i="1"/>
  <c r="T92" i="1"/>
  <c r="S92" i="1"/>
  <c r="R92" i="1"/>
  <c r="Q92" i="1"/>
  <c r="T91" i="1"/>
  <c r="S91" i="1"/>
  <c r="R91" i="1"/>
  <c r="Q91" i="1"/>
  <c r="T90" i="1"/>
  <c r="S90" i="1"/>
  <c r="R90" i="1"/>
  <c r="Q90" i="1"/>
  <c r="T89" i="1"/>
  <c r="S89" i="1"/>
  <c r="R89" i="1"/>
  <c r="Q89" i="1"/>
  <c r="T88" i="1"/>
  <c r="S88" i="1"/>
  <c r="R88" i="1"/>
  <c r="Q88" i="1"/>
  <c r="T87" i="1"/>
  <c r="S87" i="1"/>
  <c r="R87" i="1"/>
  <c r="Q87" i="1"/>
  <c r="T86" i="1"/>
  <c r="S86" i="1"/>
  <c r="R86" i="1"/>
  <c r="Q86" i="1"/>
  <c r="T85" i="1"/>
  <c r="S85" i="1"/>
  <c r="R85" i="1"/>
  <c r="Q85" i="1"/>
  <c r="T84" i="1"/>
  <c r="S84" i="1"/>
  <c r="R84" i="1"/>
  <c r="Q84" i="1"/>
  <c r="T83" i="1"/>
  <c r="S83" i="1"/>
  <c r="R83" i="1"/>
  <c r="Q83" i="1"/>
  <c r="T82" i="1"/>
  <c r="S82" i="1"/>
  <c r="R82" i="1"/>
  <c r="Q82" i="1"/>
  <c r="T81" i="1"/>
  <c r="S81" i="1"/>
  <c r="R81" i="1"/>
  <c r="Q81" i="1"/>
  <c r="T80" i="1"/>
  <c r="S80" i="1"/>
  <c r="R80" i="1"/>
  <c r="Q80" i="1"/>
  <c r="T79" i="1"/>
  <c r="S79" i="1"/>
  <c r="R79" i="1"/>
  <c r="Q79" i="1"/>
  <c r="T78" i="1"/>
  <c r="S78" i="1"/>
  <c r="R78" i="1"/>
  <c r="Q78" i="1"/>
  <c r="T77" i="1"/>
  <c r="S77" i="1"/>
  <c r="R77" i="1"/>
  <c r="Q77" i="1"/>
  <c r="T76" i="1"/>
  <c r="S76" i="1"/>
  <c r="R76" i="1"/>
  <c r="Q76" i="1"/>
  <c r="T75" i="1"/>
  <c r="S75" i="1"/>
  <c r="R75" i="1"/>
  <c r="Q75" i="1"/>
  <c r="T74" i="1"/>
  <c r="S74" i="1"/>
  <c r="R74" i="1"/>
  <c r="Q74" i="1"/>
  <c r="T73" i="1"/>
  <c r="S73" i="1"/>
  <c r="R73" i="1"/>
  <c r="Q73" i="1"/>
  <c r="T72" i="1"/>
  <c r="S72" i="1"/>
  <c r="R72" i="1"/>
  <c r="Q72" i="1"/>
  <c r="T71" i="1"/>
  <c r="S71" i="1"/>
  <c r="R71" i="1"/>
  <c r="Q71" i="1"/>
  <c r="T70" i="1"/>
  <c r="S70" i="1"/>
  <c r="R70" i="1"/>
  <c r="Q70" i="1"/>
  <c r="T69" i="1"/>
  <c r="S69" i="1"/>
  <c r="R69" i="1"/>
  <c r="Q69" i="1"/>
  <c r="T68" i="1"/>
  <c r="S68" i="1"/>
  <c r="R68" i="1"/>
  <c r="Q68" i="1"/>
  <c r="T67" i="1"/>
  <c r="S67" i="1"/>
  <c r="R67" i="1"/>
  <c r="Q67" i="1"/>
  <c r="T66" i="1"/>
  <c r="S66" i="1"/>
  <c r="R66" i="1"/>
  <c r="Q66" i="1"/>
  <c r="T65" i="1"/>
  <c r="S65" i="1"/>
  <c r="R65" i="1"/>
  <c r="Q65" i="1"/>
  <c r="T64" i="1"/>
  <c r="S64" i="1"/>
  <c r="R64" i="1"/>
  <c r="Q64" i="1"/>
  <c r="T63" i="1"/>
  <c r="S63" i="1"/>
  <c r="R63" i="1"/>
  <c r="Q63" i="1"/>
  <c r="T62" i="1"/>
  <c r="S62" i="1"/>
  <c r="R62" i="1"/>
  <c r="Q62" i="1"/>
  <c r="T61" i="1"/>
  <c r="S61" i="1"/>
  <c r="R61" i="1"/>
  <c r="Q61" i="1"/>
  <c r="T60" i="1"/>
  <c r="S60" i="1"/>
  <c r="R60" i="1"/>
  <c r="Q60" i="1"/>
  <c r="T59" i="1"/>
  <c r="S59" i="1"/>
  <c r="R59" i="1"/>
  <c r="Q59" i="1"/>
  <c r="T58" i="1"/>
  <c r="S58" i="1"/>
  <c r="R58" i="1"/>
  <c r="Q58" i="1"/>
  <c r="T57" i="1"/>
  <c r="S57" i="1"/>
  <c r="R57" i="1"/>
  <c r="Q57" i="1"/>
  <c r="T56" i="1"/>
  <c r="S56" i="1"/>
  <c r="R56" i="1"/>
  <c r="Q56" i="1"/>
  <c r="T55" i="1"/>
  <c r="S55" i="1"/>
  <c r="R55" i="1"/>
  <c r="Q55" i="1"/>
  <c r="T54" i="1"/>
  <c r="S54" i="1"/>
  <c r="R54" i="1"/>
  <c r="Q54" i="1"/>
  <c r="T53" i="1"/>
  <c r="S53" i="1"/>
  <c r="R53" i="1"/>
  <c r="Q53" i="1"/>
  <c r="T52" i="1"/>
  <c r="S52" i="1"/>
  <c r="R52" i="1"/>
  <c r="Q52" i="1"/>
  <c r="T51" i="1"/>
  <c r="S51" i="1"/>
  <c r="R51" i="1"/>
  <c r="Q51" i="1"/>
  <c r="T50" i="1"/>
  <c r="S50" i="1"/>
  <c r="R50" i="1"/>
  <c r="Q50" i="1"/>
  <c r="T49" i="1"/>
  <c r="S49" i="1"/>
  <c r="R49" i="1"/>
  <c r="Q49" i="1"/>
  <c r="T48" i="1"/>
  <c r="S48" i="1"/>
  <c r="R48" i="1"/>
  <c r="Q48" i="1"/>
  <c r="T47" i="1"/>
  <c r="S47" i="1"/>
  <c r="R47" i="1"/>
  <c r="Q47" i="1"/>
  <c r="T46" i="1"/>
  <c r="S46" i="1"/>
  <c r="R46" i="1"/>
  <c r="Q46" i="1"/>
  <c r="T45" i="1"/>
  <c r="S45" i="1"/>
  <c r="R45" i="1"/>
  <c r="Q45" i="1"/>
  <c r="T44" i="1"/>
  <c r="S44" i="1"/>
  <c r="R44" i="1"/>
  <c r="Q44" i="1"/>
  <c r="T43" i="1"/>
  <c r="S43" i="1"/>
  <c r="R43" i="1"/>
  <c r="Q43" i="1"/>
  <c r="T42" i="1"/>
  <c r="S42" i="1"/>
  <c r="R42" i="1"/>
  <c r="Q42" i="1"/>
  <c r="T41" i="1"/>
  <c r="S41" i="1"/>
  <c r="R41" i="1"/>
  <c r="Q41" i="1"/>
  <c r="T40" i="1"/>
  <c r="S40" i="1"/>
  <c r="R40" i="1"/>
  <c r="Q40" i="1"/>
  <c r="T39" i="1"/>
  <c r="S39" i="1"/>
  <c r="R39" i="1"/>
  <c r="Q39" i="1"/>
  <c r="T38" i="1"/>
  <c r="S38" i="1"/>
  <c r="R38" i="1"/>
  <c r="Q38" i="1"/>
  <c r="T37" i="1"/>
  <c r="S37" i="1"/>
  <c r="R37" i="1"/>
  <c r="Q37" i="1"/>
  <c r="T36" i="1"/>
  <c r="S36" i="1"/>
  <c r="R36" i="1"/>
  <c r="Q36" i="1"/>
  <c r="T35" i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T25" i="1"/>
  <c r="S25" i="1"/>
  <c r="R25" i="1"/>
  <c r="Q25" i="1"/>
  <c r="T24" i="1"/>
  <c r="S24" i="1"/>
  <c r="R24" i="1"/>
  <c r="Q24" i="1"/>
  <c r="T23" i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T13" i="1"/>
  <c r="S13" i="1"/>
  <c r="R13" i="1"/>
  <c r="Q13" i="1"/>
  <c r="T12" i="1"/>
  <c r="S12" i="1"/>
  <c r="R12" i="1"/>
  <c r="Q12" i="1"/>
  <c r="T11" i="1"/>
  <c r="S11" i="1"/>
  <c r="R11" i="1"/>
  <c r="Q11" i="1"/>
  <c r="T10" i="1"/>
  <c r="S10" i="1"/>
  <c r="R10" i="1"/>
  <c r="Q10" i="1"/>
  <c r="T9" i="1"/>
  <c r="S9" i="1"/>
  <c r="R9" i="1"/>
  <c r="Q9" i="1"/>
  <c r="T8" i="1"/>
  <c r="S8" i="1"/>
  <c r="R8" i="1"/>
  <c r="Q8" i="1"/>
  <c r="T7" i="1"/>
  <c r="S7" i="1"/>
  <c r="R7" i="1"/>
  <c r="Q7" i="1"/>
  <c r="T6" i="1"/>
  <c r="S6" i="1"/>
  <c r="R6" i="1"/>
  <c r="Q6" i="1"/>
  <c r="T5" i="1"/>
  <c r="S5" i="1"/>
  <c r="R5" i="1"/>
  <c r="Q5" i="1"/>
  <c r="T4" i="1"/>
  <c r="S4" i="1"/>
  <c r="R4" i="1"/>
  <c r="Q4" i="1"/>
  <c r="T3" i="1"/>
  <c r="S3" i="1"/>
  <c r="R3" i="1"/>
  <c r="Q3" i="1"/>
  <c r="T2" i="1"/>
  <c r="S2" i="1"/>
  <c r="R2" i="1"/>
  <c r="Q2" i="1"/>
</calcChain>
</file>

<file path=xl/sharedStrings.xml><?xml version="1.0" encoding="utf-8"?>
<sst xmlns="http://schemas.openxmlformats.org/spreadsheetml/2006/main" count="6950" uniqueCount="3471">
  <si>
    <t>Product_ID</t>
  </si>
  <si>
    <t>Product_Name</t>
  </si>
  <si>
    <t>Category</t>
  </si>
  <si>
    <t>Supplier_ID</t>
  </si>
  <si>
    <t>Supplier_Name</t>
  </si>
  <si>
    <t>Stock_Quantity</t>
  </si>
  <si>
    <t>Reorder_Level</t>
  </si>
  <si>
    <t>Reorder_Quantity</t>
  </si>
  <si>
    <t>Unit_Price</t>
  </si>
  <si>
    <t>Date_Received</t>
  </si>
  <si>
    <t>Last_Order_Date</t>
  </si>
  <si>
    <t>Expiration_Date</t>
  </si>
  <si>
    <t>Warehouse_Location</t>
  </si>
  <si>
    <t>Sales_Volume</t>
  </si>
  <si>
    <t>Inventory_Turnover_Rate</t>
  </si>
  <si>
    <t>Status</t>
  </si>
  <si>
    <t>Date_Check</t>
  </si>
  <si>
    <t>Inventory_Value</t>
  </si>
  <si>
    <t>Reorder_Gap</t>
  </si>
  <si>
    <t>Stock_Status</t>
  </si>
  <si>
    <t>29-205-1132</t>
  </si>
  <si>
    <t>Sushi Rice</t>
  </si>
  <si>
    <t>Grains &amp; Pulses</t>
  </si>
  <si>
    <t>38-037-1699</t>
  </si>
  <si>
    <t>Jaxnation</t>
  </si>
  <si>
    <t>48 Del Sol Trail</t>
  </si>
  <si>
    <t>Discontinued</t>
  </si>
  <si>
    <t>40-681-9981</t>
  </si>
  <si>
    <t>Arabica Coffee</t>
  </si>
  <si>
    <t>Beverages</t>
  </si>
  <si>
    <t>54-470-2479</t>
  </si>
  <si>
    <t>Feedmix</t>
  </si>
  <si>
    <t>36 3rd Place</t>
  </si>
  <si>
    <t>06-955-3428</t>
  </si>
  <si>
    <t>Black Rice</t>
  </si>
  <si>
    <t>54-031-2945</t>
  </si>
  <si>
    <t>Vinder</t>
  </si>
  <si>
    <t>3296 Walton Court</t>
  </si>
  <si>
    <t>Backordered</t>
  </si>
  <si>
    <t>71-594-6552</t>
  </si>
  <si>
    <t>Long Grain Rice</t>
  </si>
  <si>
    <t>63-492-7603</t>
  </si>
  <si>
    <t>Brightbean</t>
  </si>
  <si>
    <t>3 Westerfield Crossing</t>
  </si>
  <si>
    <t>Active</t>
  </si>
  <si>
    <t>57-437-1828</t>
  </si>
  <si>
    <t>Plum</t>
  </si>
  <si>
    <t>Fruits &amp; Vegetables</t>
  </si>
  <si>
    <t>54-226-4308</t>
  </si>
  <si>
    <t>Topicstorm</t>
  </si>
  <si>
    <t>15068 Scoville Court</t>
  </si>
  <si>
    <t>21-120-6238</t>
  </si>
  <si>
    <t>All-Purpose Flour</t>
  </si>
  <si>
    <t>86-292-4587</t>
  </si>
  <si>
    <t>Dabjam</t>
  </si>
  <si>
    <t>050 Mcbride Avenue</t>
  </si>
  <si>
    <t>71-516-1996</t>
  </si>
  <si>
    <t>Corn Oil</t>
  </si>
  <si>
    <t>Oils &amp; Fats</t>
  </si>
  <si>
    <t>04-391-7610</t>
  </si>
  <si>
    <t>Tagfeed</t>
  </si>
  <si>
    <t>12 Truax Court</t>
  </si>
  <si>
    <t>39-629-5554</t>
  </si>
  <si>
    <t>Egg (Goose)</t>
  </si>
  <si>
    <t>Dairy</t>
  </si>
  <si>
    <t>67-679-4930</t>
  </si>
  <si>
    <t>Muxo</t>
  </si>
  <si>
    <t>267 International Plaza</t>
  </si>
  <si>
    <t>66-268-8345</t>
  </si>
  <si>
    <t>Greek Yogurt</t>
  </si>
  <si>
    <t>32-182-1895</t>
  </si>
  <si>
    <t>Thoughtstorm</t>
  </si>
  <si>
    <t>550 Clemons Plaza</t>
  </si>
  <si>
    <t>46-452-9419</t>
  </si>
  <si>
    <t>Egg (Duck)</t>
  </si>
  <si>
    <t>67-137-4215</t>
  </si>
  <si>
    <t>Wordify</t>
  </si>
  <si>
    <t>55782 Welch Hill</t>
  </si>
  <si>
    <t>51-469-4611</t>
  </si>
  <si>
    <t>62-029-0827</t>
  </si>
  <si>
    <t>Fivebridge</t>
  </si>
  <si>
    <t>04776 Saint Paul Park</t>
  </si>
  <si>
    <t>42-220-9305</t>
  </si>
  <si>
    <t>White Sugar</t>
  </si>
  <si>
    <t>56-092-7992</t>
  </si>
  <si>
    <t>Zooxo</t>
  </si>
  <si>
    <t>61932 Cascade Crossing</t>
  </si>
  <si>
    <t>75-094-1179</t>
  </si>
  <si>
    <t>Rye Bread</t>
  </si>
  <si>
    <t>Bakery</t>
  </si>
  <si>
    <t>57-615-0729</t>
  </si>
  <si>
    <t>Vitz</t>
  </si>
  <si>
    <t>13 Forest Run Place</t>
  </si>
  <si>
    <t>11-073-0189</t>
  </si>
  <si>
    <t>75-190-3627</t>
  </si>
  <si>
    <t>Voomm</t>
  </si>
  <si>
    <t>5104 Jana Court</t>
  </si>
  <si>
    <t>22-621-2774</t>
  </si>
  <si>
    <t>Strawberries</t>
  </si>
  <si>
    <t>70-901-6191</t>
  </si>
  <si>
    <t>Babblestorm</t>
  </si>
  <si>
    <t>00 Drewry Court</t>
  </si>
  <si>
    <t>39-449-0772</t>
  </si>
  <si>
    <t>Feta Cheese</t>
  </si>
  <si>
    <t>84-504-7617</t>
  </si>
  <si>
    <t>Youfeed</t>
  </si>
  <si>
    <t>195 Portage Junction</t>
  </si>
  <si>
    <t>55-936-2406</t>
  </si>
  <si>
    <t>Bread Flour</t>
  </si>
  <si>
    <t>29-689-5014</t>
  </si>
  <si>
    <t>Mynte</t>
  </si>
  <si>
    <t>52691 8th Drive</t>
  </si>
  <si>
    <t>82-041-7211</t>
  </si>
  <si>
    <t>Swiss Cheese</t>
  </si>
  <si>
    <t>03-615-0558</t>
  </si>
  <si>
    <t>Reallinks</t>
  </si>
  <si>
    <t>285 1st Park</t>
  </si>
  <si>
    <t>48-414-6162</t>
  </si>
  <si>
    <t>10-060-8515</t>
  </si>
  <si>
    <t>Skivee</t>
  </si>
  <si>
    <t>17780 Lindbergh Junction</t>
  </si>
  <si>
    <t>76-854-0095</t>
  </si>
  <si>
    <t>38-883-3382</t>
  </si>
  <si>
    <t>Mydeo</t>
  </si>
  <si>
    <t>7834 Cordelia Alley</t>
  </si>
  <si>
    <t>25-349-7974</t>
  </si>
  <si>
    <t>Spinach</t>
  </si>
  <si>
    <t>82-737-6019</t>
  </si>
  <si>
    <t>Devshare</t>
  </si>
  <si>
    <t>42 Bunker Hill Junction</t>
  </si>
  <si>
    <t>66-627-9752</t>
  </si>
  <si>
    <t>Trout</t>
  </si>
  <si>
    <t>Seafood</t>
  </si>
  <si>
    <t>87-839-6400</t>
  </si>
  <si>
    <t>Jabbertype</t>
  </si>
  <si>
    <t>08 Randy Junction</t>
  </si>
  <si>
    <t>78-614-4402</t>
  </si>
  <si>
    <t>Green Beans</t>
  </si>
  <si>
    <t>51-014-4287</t>
  </si>
  <si>
    <t>Gigazoom</t>
  </si>
  <si>
    <t>37 Browning Trail</t>
  </si>
  <si>
    <t>67-025-1245</t>
  </si>
  <si>
    <t>Cabbage</t>
  </si>
  <si>
    <t>28-575-0716</t>
  </si>
  <si>
    <t>Chatterbridge</t>
  </si>
  <si>
    <t>51890 Lindbergh Terrace</t>
  </si>
  <si>
    <t>68-418-6724</t>
  </si>
  <si>
    <t>Parmesan Cheese</t>
  </si>
  <si>
    <t>75-465-6257</t>
  </si>
  <si>
    <t>Feedspan</t>
  </si>
  <si>
    <t>49869 Bunker Hill Terrace</t>
  </si>
  <si>
    <t>40-795-0753</t>
  </si>
  <si>
    <t>Raw Sugar</t>
  </si>
  <si>
    <t>47-183-4911</t>
  </si>
  <si>
    <t>Mydo</t>
  </si>
  <si>
    <t>66879 Susan Place</t>
  </si>
  <si>
    <t>02-508-3777</t>
  </si>
  <si>
    <t>Egg (Quail)</t>
  </si>
  <si>
    <t>69-933-2582</t>
  </si>
  <si>
    <t>Realpoint</t>
  </si>
  <si>
    <t>895 Northland Hill</t>
  </si>
  <si>
    <t>79-741-0770</t>
  </si>
  <si>
    <t>Mushrooms</t>
  </si>
  <si>
    <t>67-771-7656</t>
  </si>
  <si>
    <t>Photospace</t>
  </si>
  <si>
    <t>91 Kinsman Terrace</t>
  </si>
  <si>
    <t>31-211-5803</t>
  </si>
  <si>
    <t>Oatmeal Biscuit</t>
  </si>
  <si>
    <t>75-503-9347</t>
  </si>
  <si>
    <t>492 Shoshone Road</t>
  </si>
  <si>
    <t>16-499-5059</t>
  </si>
  <si>
    <t>Pear</t>
  </si>
  <si>
    <t>09-090-6360</t>
  </si>
  <si>
    <t>Centizu</t>
  </si>
  <si>
    <t>3 Hooker Way</t>
  </si>
  <si>
    <t>76-340-4432</t>
  </si>
  <si>
    <t>Cucumber</t>
  </si>
  <si>
    <t>79-915-4185</t>
  </si>
  <si>
    <t>Brainverse</t>
  </si>
  <si>
    <t>157 David Center</t>
  </si>
  <si>
    <t>38-732-7667</t>
  </si>
  <si>
    <t>Pineapple</t>
  </si>
  <si>
    <t>88-663-3393</t>
  </si>
  <si>
    <t>Photojam</t>
  </si>
  <si>
    <t>3645 Ridge Oak Drive</t>
  </si>
  <si>
    <t>04-240-2226</t>
  </si>
  <si>
    <t>Olive Oil</t>
  </si>
  <si>
    <t>65-842-6819</t>
  </si>
  <si>
    <t>Kamba</t>
  </si>
  <si>
    <t>504 Green Park</t>
  </si>
  <si>
    <t>79-136-9840</t>
  </si>
  <si>
    <t>Herbal Tea</t>
  </si>
  <si>
    <t>07-809-0926</t>
  </si>
  <si>
    <t>Pixonyx</t>
  </si>
  <si>
    <t>26175 Oxford Way</t>
  </si>
  <si>
    <t>73-401-5721</t>
  </si>
  <si>
    <t>Haddock</t>
  </si>
  <si>
    <t>38-622-5251</t>
  </si>
  <si>
    <t>Midel</t>
  </si>
  <si>
    <t>582 Sauthoff Crossing</t>
  </si>
  <si>
    <t>91-848-0606</t>
  </si>
  <si>
    <t>Onion</t>
  </si>
  <si>
    <t>68-836-0350</t>
  </si>
  <si>
    <t>Skyble</t>
  </si>
  <si>
    <t>13 Corscot Hill</t>
  </si>
  <si>
    <t>54-109-8062</t>
  </si>
  <si>
    <t>04-726-3363</t>
  </si>
  <si>
    <t>Linklinks</t>
  </si>
  <si>
    <t>67 Little Fleur Road</t>
  </si>
  <si>
    <t>70-612-2531</t>
  </si>
  <si>
    <t>94-217-4781</t>
  </si>
  <si>
    <t>Flipbug</t>
  </si>
  <si>
    <t>4 Raven Drive</t>
  </si>
  <si>
    <t>26-161-6692</t>
  </si>
  <si>
    <t>Zucchini</t>
  </si>
  <si>
    <t>61-796-7912</t>
  </si>
  <si>
    <t>Kare</t>
  </si>
  <si>
    <t>70001 Vahlen Lane</t>
  </si>
  <si>
    <t>43-893-5408</t>
  </si>
  <si>
    <t>Short Grain Rice</t>
  </si>
  <si>
    <t>25-414-2945</t>
  </si>
  <si>
    <t>Snaptags</t>
  </si>
  <si>
    <t>6 Orin Place</t>
  </si>
  <si>
    <t>11-316-8405</t>
  </si>
  <si>
    <t>Mango</t>
  </si>
  <si>
    <t>50-918-1373</t>
  </si>
  <si>
    <t>Twitternation</t>
  </si>
  <si>
    <t>108 Morning Center</t>
  </si>
  <si>
    <t>34-086-3222</t>
  </si>
  <si>
    <t>Lemon</t>
  </si>
  <si>
    <t>34-017-9457</t>
  </si>
  <si>
    <t>Layo</t>
  </si>
  <si>
    <t>867 Merrick Place</t>
  </si>
  <si>
    <t>21-816-1004</t>
  </si>
  <si>
    <t>Black Coffee</t>
  </si>
  <si>
    <t>68-482-4786</t>
  </si>
  <si>
    <t>564 Hazelcrest Crossing</t>
  </si>
  <si>
    <t>43-693-2092</t>
  </si>
  <si>
    <t>Butter</t>
  </si>
  <si>
    <t>19-469-9841</t>
  </si>
  <si>
    <t>Kayveo</t>
  </si>
  <si>
    <t>76 Toban Plaza</t>
  </si>
  <si>
    <t>63-270-7076</t>
  </si>
  <si>
    <t>Multigrain Bread</t>
  </si>
  <si>
    <t>85-532-0172</t>
  </si>
  <si>
    <t>Roombo</t>
  </si>
  <si>
    <t>6 Lunder Parkway</t>
  </si>
  <si>
    <t>90-230-9767</t>
  </si>
  <si>
    <t>70-515-9048</t>
  </si>
  <si>
    <t>Voonyx</t>
  </si>
  <si>
    <t>00397 Bay Terrace</t>
  </si>
  <si>
    <t>05-334-2923</t>
  </si>
  <si>
    <t>41-772-6271</t>
  </si>
  <si>
    <t>Browsezoom</t>
  </si>
  <si>
    <t>8 Surrey Pass</t>
  </si>
  <si>
    <t>52-481-5224</t>
  </si>
  <si>
    <t>Kiwi</t>
  </si>
  <si>
    <t>46-382-2024</t>
  </si>
  <si>
    <t>Fiveclub</t>
  </si>
  <si>
    <t>80 Old Shore Plaza</t>
  </si>
  <si>
    <t>11-325-7396</t>
  </si>
  <si>
    <t>98-940-7545</t>
  </si>
  <si>
    <t>Skipfire</t>
  </si>
  <si>
    <t>387 Jay Point</t>
  </si>
  <si>
    <t>70-854-6891</t>
  </si>
  <si>
    <t>Sourdough Bread</t>
  </si>
  <si>
    <t>79-575-9351</t>
  </si>
  <si>
    <t>Flashspan</t>
  </si>
  <si>
    <t>24045 Bluestem Point</t>
  </si>
  <si>
    <t>46-520-1819</t>
  </si>
  <si>
    <t>10-762-7936</t>
  </si>
  <si>
    <t>Katz</t>
  </si>
  <si>
    <t>805 Nancy Crossing</t>
  </si>
  <si>
    <t>91-105-7317</t>
  </si>
  <si>
    <t>Orange</t>
  </si>
  <si>
    <t>84-047-0017</t>
  </si>
  <si>
    <t>44022 Barnett Way</t>
  </si>
  <si>
    <t>40-751-8635</t>
  </si>
  <si>
    <t>48-878-3021</t>
  </si>
  <si>
    <t>Yamia</t>
  </si>
  <si>
    <t>3 Ronald Regan Center</t>
  </si>
  <si>
    <t>02-920-4829</t>
  </si>
  <si>
    <t>White Bread</t>
  </si>
  <si>
    <t>41-587-4864</t>
  </si>
  <si>
    <t>4 Judy Hill</t>
  </si>
  <si>
    <t>36-918-2937</t>
  </si>
  <si>
    <t>Green Coffee</t>
  </si>
  <si>
    <t>53-844-0478</t>
  </si>
  <si>
    <t>Kwinu</t>
  </si>
  <si>
    <t>90865 Sherman Court</t>
  </si>
  <si>
    <t>68-761-6907</t>
  </si>
  <si>
    <t>31-199-3683</t>
  </si>
  <si>
    <t>9695 Alpine Trail</t>
  </si>
  <si>
    <t>69-468-5468</t>
  </si>
  <si>
    <t>37-099-6976</t>
  </si>
  <si>
    <t>Vinte</t>
  </si>
  <si>
    <t>72083 Acker Crossing</t>
  </si>
  <si>
    <t>27-635-8394</t>
  </si>
  <si>
    <t>87-893-6089</t>
  </si>
  <si>
    <t>Twitterwire</t>
  </si>
  <si>
    <t>812 Shelley Circle</t>
  </si>
  <si>
    <t>41-729-5410</t>
  </si>
  <si>
    <t>Sardines</t>
  </si>
  <si>
    <t>71-727-8611</t>
  </si>
  <si>
    <t>Ntag</t>
  </si>
  <si>
    <t>7193 Crownhardt Drive</t>
  </si>
  <si>
    <t>33-335-9140</t>
  </si>
  <si>
    <t>08-209-1598</t>
  </si>
  <si>
    <t>Blogspan</t>
  </si>
  <si>
    <t>76928 Tennyson Parkway</t>
  </si>
  <si>
    <t>11-581-9869</t>
  </si>
  <si>
    <t>Carrot</t>
  </si>
  <si>
    <t>22-867-3079</t>
  </si>
  <si>
    <t>Avaveo</t>
  </si>
  <si>
    <t>44801 Myrtle Center</t>
  </si>
  <si>
    <t>78-237-0277</t>
  </si>
  <si>
    <t>Black Tea</t>
  </si>
  <si>
    <t>50-314-5433</t>
  </si>
  <si>
    <t>Brainbox</t>
  </si>
  <si>
    <t>79 Cardinal Court</t>
  </si>
  <si>
    <t>75-152-8731</t>
  </si>
  <si>
    <t>05-593-1927</t>
  </si>
  <si>
    <t>Voonix</t>
  </si>
  <si>
    <t>622 Anthes Lane</t>
  </si>
  <si>
    <t>65-718-0492</t>
  </si>
  <si>
    <t>91-492-8216</t>
  </si>
  <si>
    <t>8626 Chinook Parkway</t>
  </si>
  <si>
    <t>55-697-5242</t>
  </si>
  <si>
    <t>Ricotta Cheese</t>
  </si>
  <si>
    <t>74-726-0855</t>
  </si>
  <si>
    <t>Shufflebeat</t>
  </si>
  <si>
    <t>19112 Little Fleur Road</t>
  </si>
  <si>
    <t>14-844-4138</t>
  </si>
  <si>
    <t>90-534-2165</t>
  </si>
  <si>
    <t>40643 Sullivan Lane</t>
  </si>
  <si>
    <t>20-225-3930</t>
  </si>
  <si>
    <t>White Tea</t>
  </si>
  <si>
    <t>73-069-2753</t>
  </si>
  <si>
    <t>Skipstorm</t>
  </si>
  <si>
    <t>5756 Stephen Avenue</t>
  </si>
  <si>
    <t>66-993-4234</t>
  </si>
  <si>
    <t>15-852-0491</t>
  </si>
  <si>
    <t>22 Dexter Trail</t>
  </si>
  <si>
    <t>87-762-1317</t>
  </si>
  <si>
    <t>Mozzarella Cheese</t>
  </si>
  <si>
    <t>58-474-3510</t>
  </si>
  <si>
    <t>Dazzlesphere</t>
  </si>
  <si>
    <t>9305 Warrior Way</t>
  </si>
  <si>
    <t>81-844-2979</t>
  </si>
  <si>
    <t>Broccoli</t>
  </si>
  <si>
    <t>02-575-7332</t>
  </si>
  <si>
    <t>Realblab</t>
  </si>
  <si>
    <t>16 Elgar Point</t>
  </si>
  <si>
    <t>44-408-7594</t>
  </si>
  <si>
    <t>Eggplant</t>
  </si>
  <si>
    <t>08-828-3804</t>
  </si>
  <si>
    <t>Eire</t>
  </si>
  <si>
    <t>81 Oneill Circle</t>
  </si>
  <si>
    <t>26-010-9519</t>
  </si>
  <si>
    <t>28-837-4164</t>
  </si>
  <si>
    <t>Blogtag</t>
  </si>
  <si>
    <t>4508 Shopko Trail</t>
  </si>
  <si>
    <t>65-464-5070</t>
  </si>
  <si>
    <t>Heavy Cream</t>
  </si>
  <si>
    <t>01-517-7793</t>
  </si>
  <si>
    <t>Ntags</t>
  </si>
  <si>
    <t>00 Luster Alley</t>
  </si>
  <si>
    <t>07-970-9352</t>
  </si>
  <si>
    <t>Bell Pepper</t>
  </si>
  <si>
    <t>14-724-4622</t>
  </si>
  <si>
    <t>Tagtune</t>
  </si>
  <si>
    <t>459 Gateway Pass</t>
  </si>
  <si>
    <t>88-746-9468</t>
  </si>
  <si>
    <t>06-159-1957</t>
  </si>
  <si>
    <t>Skiba</t>
  </si>
  <si>
    <t>82737 Ryan Place</t>
  </si>
  <si>
    <t>06-336-5482</t>
  </si>
  <si>
    <t>99-784-4391</t>
  </si>
  <si>
    <t>Voolia</t>
  </si>
  <si>
    <t>7 Mockingbird Hill</t>
  </si>
  <si>
    <t>03-276-3931</t>
  </si>
  <si>
    <t>42-224-8186</t>
  </si>
  <si>
    <t>Oyoloo</t>
  </si>
  <si>
    <t>081 Bellgrove Place</t>
  </si>
  <si>
    <t>39-232-5341</t>
  </si>
  <si>
    <t>Arborio Rice</t>
  </si>
  <si>
    <t>23-319-2681</t>
  </si>
  <si>
    <t>05433 Towne Terrace</t>
  </si>
  <si>
    <t>12-239-9399</t>
  </si>
  <si>
    <t>Potato</t>
  </si>
  <si>
    <t>53-584-1853</t>
  </si>
  <si>
    <t>924 La Follette Alley</t>
  </si>
  <si>
    <t>75-080-4909</t>
  </si>
  <si>
    <t>34-726-5887</t>
  </si>
  <si>
    <t>Tagopia</t>
  </si>
  <si>
    <t>7 Gateway Center</t>
  </si>
  <si>
    <t>70-815-4015</t>
  </si>
  <si>
    <t>Butter Biscuit</t>
  </si>
  <si>
    <t>89-134-9717</t>
  </si>
  <si>
    <t>Ozu</t>
  </si>
  <si>
    <t>175 Sycamore Circle</t>
  </si>
  <si>
    <t>11-032-9778</t>
  </si>
  <si>
    <t>Peas</t>
  </si>
  <si>
    <t>42-380-8881</t>
  </si>
  <si>
    <t>Edgepulse</t>
  </si>
  <si>
    <t>553 Mayfield Crossing</t>
  </si>
  <si>
    <t>54-374-9986</t>
  </si>
  <si>
    <t>Cream</t>
  </si>
  <si>
    <t>33-818-4917</t>
  </si>
  <si>
    <t>Oyondu</t>
  </si>
  <si>
    <t>74997 Katie Terrace</t>
  </si>
  <si>
    <t>77-312-6317</t>
  </si>
  <si>
    <t>12-950-4397</t>
  </si>
  <si>
    <t>Abatz</t>
  </si>
  <si>
    <t>3616 Carey Pass</t>
  </si>
  <si>
    <t>13-844-2178</t>
  </si>
  <si>
    <t>66-832-1802</t>
  </si>
  <si>
    <t>Browsetype</t>
  </si>
  <si>
    <t>86207 Tennyson Parkway</t>
  </si>
  <si>
    <t>22-141-9798</t>
  </si>
  <si>
    <t>59-849-9942</t>
  </si>
  <si>
    <t>Photobean</t>
  </si>
  <si>
    <t>6 Nobel Junction</t>
  </si>
  <si>
    <t>20-022-3173</t>
  </si>
  <si>
    <t>54-188-1006</t>
  </si>
  <si>
    <t>81878 Nobel Point</t>
  </si>
  <si>
    <t>26-177-5690</t>
  </si>
  <si>
    <t>06-708-1412</t>
  </si>
  <si>
    <t>Skinte</t>
  </si>
  <si>
    <t>61707 Mariners Cove Park</t>
  </si>
  <si>
    <t>70-871-4536</t>
  </si>
  <si>
    <t>72-514-7323</t>
  </si>
  <si>
    <t>Cogilith</t>
  </si>
  <si>
    <t>5 Waxwing Junction</t>
  </si>
  <si>
    <t>06-611-5454</t>
  </si>
  <si>
    <t>Peanut Oil</t>
  </si>
  <si>
    <t>43-786-9229</t>
  </si>
  <si>
    <t>Bluezoom</t>
  </si>
  <si>
    <t>16 Autumn Leaf Way</t>
  </si>
  <si>
    <t>89-543-3456</t>
  </si>
  <si>
    <t>Blueberries</t>
  </si>
  <si>
    <t>23-178-8962</t>
  </si>
  <si>
    <t>Jaloo</t>
  </si>
  <si>
    <t>22782 Oriole Way</t>
  </si>
  <si>
    <t>82-395-5070</t>
  </si>
  <si>
    <t>Chocolate Biscuit</t>
  </si>
  <si>
    <t>01-801-9502</t>
  </si>
  <si>
    <t>Vidoo</t>
  </si>
  <si>
    <t>43442 Homewood Street</t>
  </si>
  <si>
    <t>14-305-5348</t>
  </si>
  <si>
    <t>Cheese</t>
  </si>
  <si>
    <t>71-092-6845</t>
  </si>
  <si>
    <t>Shuffledrive</t>
  </si>
  <si>
    <t>19 Shoshone Circle</t>
  </si>
  <si>
    <t>82-243-3180</t>
  </si>
  <si>
    <t>Palm Oil</t>
  </si>
  <si>
    <t>18-631-1458</t>
  </si>
  <si>
    <t>97 Sunnyside Court</t>
  </si>
  <si>
    <t>25-010-9478</t>
  </si>
  <si>
    <t>24-576-3402</t>
  </si>
  <si>
    <t>Topicblab</t>
  </si>
  <si>
    <t>357 Maple Park</t>
  </si>
  <si>
    <t>13-202-4809</t>
  </si>
  <si>
    <t>Garlic</t>
  </si>
  <si>
    <t>24-281-7685</t>
  </si>
  <si>
    <t>6195 Monterey Center</t>
  </si>
  <si>
    <t>67-270-7464</t>
  </si>
  <si>
    <t>Jasmine Rice</t>
  </si>
  <si>
    <t>83-960-5274</t>
  </si>
  <si>
    <t>Yadel</t>
  </si>
  <si>
    <t>7242 Claremont Avenue</t>
  </si>
  <si>
    <t>11-733-1756</t>
  </si>
  <si>
    <t>Rice Flour</t>
  </si>
  <si>
    <t>27-970-8649</t>
  </si>
  <si>
    <t>127 Eliot Road</t>
  </si>
  <si>
    <t>80-988-4653</t>
  </si>
  <si>
    <t>02-272-0535</t>
  </si>
  <si>
    <t>Livetube</t>
  </si>
  <si>
    <t>8 Russell Pass</t>
  </si>
  <si>
    <t>60-343-7973</t>
  </si>
  <si>
    <t>06-303-4127</t>
  </si>
  <si>
    <t>Zoombox</t>
  </si>
  <si>
    <t>85408 Toban Crossing</t>
  </si>
  <si>
    <t>34-861-4446</t>
  </si>
  <si>
    <t>40-696-4237</t>
  </si>
  <si>
    <t>Photobug</t>
  </si>
  <si>
    <t>113 Donald Court</t>
  </si>
  <si>
    <t>67-710-5120</t>
  </si>
  <si>
    <t>00-131-9278</t>
  </si>
  <si>
    <t>Skynoodle</t>
  </si>
  <si>
    <t>978 Shasta Lane</t>
  </si>
  <si>
    <t>49-891-4927</t>
  </si>
  <si>
    <t>Cottage Cheese</t>
  </si>
  <si>
    <t>89-155-3471</t>
  </si>
  <si>
    <t>46 Hoffman Trail</t>
  </si>
  <si>
    <t>55-522-8242</t>
  </si>
  <si>
    <t>Whipped Cream</t>
  </si>
  <si>
    <t>48-884-5431</t>
  </si>
  <si>
    <t>Feedbug</t>
  </si>
  <si>
    <t>7 Spohn Avenue</t>
  </si>
  <si>
    <t>62-509-0666</t>
  </si>
  <si>
    <t>Almond Flour</t>
  </si>
  <si>
    <t>16-419-1419</t>
  </si>
  <si>
    <t>1468 Meadow Vale Court</t>
  </si>
  <si>
    <t>64-478-4745</t>
  </si>
  <si>
    <t>36-780-8625</t>
  </si>
  <si>
    <t>208 Miller Court</t>
  </si>
  <si>
    <t>35-835-5591</t>
  </si>
  <si>
    <t>Tilapia</t>
  </si>
  <si>
    <t>54-876-4296</t>
  </si>
  <si>
    <t>509 Carpenter Trail</t>
  </si>
  <si>
    <t>26-690-3784</t>
  </si>
  <si>
    <t>Lettuce</t>
  </si>
  <si>
    <t>70-463-6597</t>
  </si>
  <si>
    <t>Fadeo</t>
  </si>
  <si>
    <t>19069 Cordelia Drive</t>
  </si>
  <si>
    <t>67-546-1568</t>
  </si>
  <si>
    <t>10-038-3988</t>
  </si>
  <si>
    <t>Edgeify</t>
  </si>
  <si>
    <t>203 Mariners Cove Junction</t>
  </si>
  <si>
    <t>67-625-9704</t>
  </si>
  <si>
    <t>13-475-1009</t>
  </si>
  <si>
    <t>Eayo</t>
  </si>
  <si>
    <t>7819 Fallview Park</t>
  </si>
  <si>
    <t>31-969-4614</t>
  </si>
  <si>
    <t>83-104-8425</t>
  </si>
  <si>
    <t>993 Kensington Drive</t>
  </si>
  <si>
    <t>50-364-5828</t>
  </si>
  <si>
    <t>Coconut</t>
  </si>
  <si>
    <t>17-239-6309</t>
  </si>
  <si>
    <t>772 Golf Course Junction</t>
  </si>
  <si>
    <t>61-827-4098</t>
  </si>
  <si>
    <t>Cod</t>
  </si>
  <si>
    <t>34-850-0377</t>
  </si>
  <si>
    <t>Devbug</t>
  </si>
  <si>
    <t>29992 Warrior Center</t>
  </si>
  <si>
    <t>87-698-0944</t>
  </si>
  <si>
    <t>Banana</t>
  </si>
  <si>
    <t>73-717-0190</t>
  </si>
  <si>
    <t>8 Heffernan Point</t>
  </si>
  <si>
    <t>36-636-4873</t>
  </si>
  <si>
    <t>11-098-3982</t>
  </si>
  <si>
    <t>Wikivu</t>
  </si>
  <si>
    <t>451 Grim Hill</t>
  </si>
  <si>
    <t>98-556-5323</t>
  </si>
  <si>
    <t>Pomegranate</t>
  </si>
  <si>
    <t>21-490-8051</t>
  </si>
  <si>
    <t>Dynabox</t>
  </si>
  <si>
    <t>005 Tomscot Hill</t>
  </si>
  <si>
    <t>97-772-2336</t>
  </si>
  <si>
    <t>19-704-4404</t>
  </si>
  <si>
    <t>Rooxo</t>
  </si>
  <si>
    <t>9 Bartillon Trail</t>
  </si>
  <si>
    <t>19-047-4239</t>
  </si>
  <si>
    <t>Peach</t>
  </si>
  <si>
    <t>11-146-9880</t>
  </si>
  <si>
    <t>Quire</t>
  </si>
  <si>
    <t>7 West Street</t>
  </si>
  <si>
    <t>41-316-8427</t>
  </si>
  <si>
    <t>75-867-3635</t>
  </si>
  <si>
    <t>Realcube</t>
  </si>
  <si>
    <t>03416 Valley Edge Circle</t>
  </si>
  <si>
    <t>15-907-3681</t>
  </si>
  <si>
    <t>72-931-9828</t>
  </si>
  <si>
    <t>Brainsphere</t>
  </si>
  <si>
    <t>21633 Sycamore Center</t>
  </si>
  <si>
    <t>14-305-9690</t>
  </si>
  <si>
    <t>13-457-9946</t>
  </si>
  <si>
    <t>Dabshots</t>
  </si>
  <si>
    <t>43107 Schlimgen Circle</t>
  </si>
  <si>
    <t>40-860-4532</t>
  </si>
  <si>
    <t>73-625-5112</t>
  </si>
  <si>
    <t>988 Southridge Way</t>
  </si>
  <si>
    <t>44-552-3909</t>
  </si>
  <si>
    <t>80-863-1186</t>
  </si>
  <si>
    <t>Riffwire</t>
  </si>
  <si>
    <t>6 Charing Cross Circle</t>
  </si>
  <si>
    <t>75-029-9003</t>
  </si>
  <si>
    <t>61-917-4271</t>
  </si>
  <si>
    <t>Eadel</t>
  </si>
  <si>
    <t>19180 Hagan Parkway</t>
  </si>
  <si>
    <t>74-587-2065</t>
  </si>
  <si>
    <t>33-141-1402</t>
  </si>
  <si>
    <t>Gigaclub</t>
  </si>
  <si>
    <t>84642 Clarendon Point</t>
  </si>
  <si>
    <t>70-149-6756</t>
  </si>
  <si>
    <t>97-150-9199</t>
  </si>
  <si>
    <t>6 Messerschmidt Place</t>
  </si>
  <si>
    <t>29-896-7926</t>
  </si>
  <si>
    <t>White Rice</t>
  </si>
  <si>
    <t>86-400-4155</t>
  </si>
  <si>
    <t>Centidel</t>
  </si>
  <si>
    <t>80930 Briar Crest Point</t>
  </si>
  <si>
    <t>54-822-9009</t>
  </si>
  <si>
    <t>Cauliflower</t>
  </si>
  <si>
    <t>23-197-9965</t>
  </si>
  <si>
    <t>Shufflester</t>
  </si>
  <si>
    <t>64389 Arkansas Alley</t>
  </si>
  <si>
    <t>84-075-7647</t>
  </si>
  <si>
    <t>Canola Oil</t>
  </si>
  <si>
    <t>95-889-8592</t>
  </si>
  <si>
    <t>51 7th Court</t>
  </si>
  <si>
    <t>88-602-8210</t>
  </si>
  <si>
    <t>Avocado Oil</t>
  </si>
  <si>
    <t>26-411-9126</t>
  </si>
  <si>
    <t>Skajo</t>
  </si>
  <si>
    <t>042 Di Loreto Court</t>
  </si>
  <si>
    <t>04-542-3863</t>
  </si>
  <si>
    <t>55-952-9832</t>
  </si>
  <si>
    <t>Eidel</t>
  </si>
  <si>
    <t>403 Loomis Way</t>
  </si>
  <si>
    <t>57-613-5779</t>
  </si>
  <si>
    <t>Gouda Cheese</t>
  </si>
  <si>
    <t>29-009-9132</t>
  </si>
  <si>
    <t>Thoughtblab</t>
  </si>
  <si>
    <t>6 John Wall Plaza</t>
  </si>
  <si>
    <t>90-737-0044</t>
  </si>
  <si>
    <t>39-339-3869</t>
  </si>
  <si>
    <t>Bubblemix</t>
  </si>
  <si>
    <t>92321 Nelson Trail</t>
  </si>
  <si>
    <t>28-956-1320</t>
  </si>
  <si>
    <t>01-445-8931</t>
  </si>
  <si>
    <t>95 Onsgard Way</t>
  </si>
  <si>
    <t>87-791-5803</t>
  </si>
  <si>
    <t>Tuna</t>
  </si>
  <si>
    <t>89-843-0880</t>
  </si>
  <si>
    <t>Meemm</t>
  </si>
  <si>
    <t>8 Fremont Circle</t>
  </si>
  <si>
    <t>14-521-4167</t>
  </si>
  <si>
    <t>Buttermilk</t>
  </si>
  <si>
    <t>68-609-1972</t>
  </si>
  <si>
    <t>00847 Reindahl Place</t>
  </si>
  <si>
    <t>51-572-5497</t>
  </si>
  <si>
    <t>43-035-3382</t>
  </si>
  <si>
    <t>Kanoodle</t>
  </si>
  <si>
    <t>9516 Burrows Circle</t>
  </si>
  <si>
    <t>28-840-6096</t>
  </si>
  <si>
    <t>15-444-8224</t>
  </si>
  <si>
    <t>Flipopia</t>
  </si>
  <si>
    <t>92655 Pond Park</t>
  </si>
  <si>
    <t>44-538-3366</t>
  </si>
  <si>
    <t>33-898-6242</t>
  </si>
  <si>
    <t>Realbridge</t>
  </si>
  <si>
    <t>46 Cardinal Way</t>
  </si>
  <si>
    <t>51-459-5630</t>
  </si>
  <si>
    <t>Sour Cream</t>
  </si>
  <si>
    <t>29-567-3732</t>
  </si>
  <si>
    <t>Skyvu</t>
  </si>
  <si>
    <t>805 Center Parkway</t>
  </si>
  <si>
    <t>02-655-3240</t>
  </si>
  <si>
    <t>95-200-1972</t>
  </si>
  <si>
    <t>Jabberstorm</t>
  </si>
  <si>
    <t>6738 Tennyson Road</t>
  </si>
  <si>
    <t>42-887-6557</t>
  </si>
  <si>
    <t>49-092-2735</t>
  </si>
  <si>
    <t>Geba</t>
  </si>
  <si>
    <t>61224 Northridge Avenue</t>
  </si>
  <si>
    <t>96-316-7600</t>
  </si>
  <si>
    <t>76-671-7104</t>
  </si>
  <si>
    <t>6 Swallow Crossing</t>
  </si>
  <si>
    <t>58-063-8633</t>
  </si>
  <si>
    <t>21-932-5200</t>
  </si>
  <si>
    <t>Skimia</t>
  </si>
  <si>
    <t>33424 Express Avenue</t>
  </si>
  <si>
    <t>43-703-9939</t>
  </si>
  <si>
    <t>69-928-4929</t>
  </si>
  <si>
    <t>4 Sundown Place</t>
  </si>
  <si>
    <t>88-069-5486</t>
  </si>
  <si>
    <t>95-878-1614</t>
  </si>
  <si>
    <t>Buzzshare</t>
  </si>
  <si>
    <t>01330 Sheridan Way</t>
  </si>
  <si>
    <t>74-845-3299</t>
  </si>
  <si>
    <t>Green Tea</t>
  </si>
  <si>
    <t>21-792-1000</t>
  </si>
  <si>
    <t>Oyoyo</t>
  </si>
  <si>
    <t>2 Petterle Road</t>
  </si>
  <si>
    <t>81-605-6246</t>
  </si>
  <si>
    <t>62-086-0407</t>
  </si>
  <si>
    <t>65721 Caliangt Crossing</t>
  </si>
  <si>
    <t>73-561-2867</t>
  </si>
  <si>
    <t>60-386-5077</t>
  </si>
  <si>
    <t>7444 Saint Paul Circle</t>
  </si>
  <si>
    <t>19-967-0632</t>
  </si>
  <si>
    <t>90-445-1753</t>
  </si>
  <si>
    <t>Yombu</t>
  </si>
  <si>
    <t>6990 Kings Place</t>
  </si>
  <si>
    <t>23-070-2433</t>
  </si>
  <si>
    <t>Powdered Sugar</t>
  </si>
  <si>
    <t>82-235-9317</t>
  </si>
  <si>
    <t>Meeveo</t>
  </si>
  <si>
    <t>836 Brown Alley</t>
  </si>
  <si>
    <t>27-262-2437</t>
  </si>
  <si>
    <t>05-181-2682</t>
  </si>
  <si>
    <t>Skidoo</t>
  </si>
  <si>
    <t>739 Swallow Road</t>
  </si>
  <si>
    <t>39-479-5147</t>
  </si>
  <si>
    <t>02-156-7270</t>
  </si>
  <si>
    <t>Meedoo</t>
  </si>
  <si>
    <t>14 Talmadge Park</t>
  </si>
  <si>
    <t>71-085-4290</t>
  </si>
  <si>
    <t>26-593-3478</t>
  </si>
  <si>
    <t>2 Basil Street</t>
  </si>
  <si>
    <t>48-957-6116</t>
  </si>
  <si>
    <t>34-334-6888</t>
  </si>
  <si>
    <t>938 Hanover Point</t>
  </si>
  <si>
    <t>83-917-7384</t>
  </si>
  <si>
    <t>84-923-5086</t>
  </si>
  <si>
    <t>Tavu</t>
  </si>
  <si>
    <t>3 Ilene Terrace</t>
  </si>
  <si>
    <t>26-031-8070</t>
  </si>
  <si>
    <t>Vegetable Oil</t>
  </si>
  <si>
    <t>11-096-4003</t>
  </si>
  <si>
    <t>Trudeo</t>
  </si>
  <si>
    <t>5414 Linden Point</t>
  </si>
  <si>
    <t>03-149-9760</t>
  </si>
  <si>
    <t>08-141-2402</t>
  </si>
  <si>
    <t>Yotz</t>
  </si>
  <si>
    <t>554 Eliot Point</t>
  </si>
  <si>
    <t>53-680-5293</t>
  </si>
  <si>
    <t>Cheddar Cheese</t>
  </si>
  <si>
    <t>47-732-4446</t>
  </si>
  <si>
    <t>Demizz</t>
  </si>
  <si>
    <t>97687 Mendota Terrace</t>
  </si>
  <si>
    <t>49-861-7823</t>
  </si>
  <si>
    <t>22-152-0111</t>
  </si>
  <si>
    <t>Skippad</t>
  </si>
  <si>
    <t>26 Graceland Circle</t>
  </si>
  <si>
    <t>24-364-3341</t>
  </si>
  <si>
    <t>Egg (Turkey)</t>
  </si>
  <si>
    <t>13-290-8513</t>
  </si>
  <si>
    <t>Topiclounge</t>
  </si>
  <si>
    <t>120 Gale Circle</t>
  </si>
  <si>
    <t>80-374-5711</t>
  </si>
  <si>
    <t>77-566-9826</t>
  </si>
  <si>
    <t>Browsecat</t>
  </si>
  <si>
    <t>13 Bluejay Way</t>
  </si>
  <si>
    <t>76-325-9093</t>
  </si>
  <si>
    <t>Sesame Oil</t>
  </si>
  <si>
    <t>67-922-3399</t>
  </si>
  <si>
    <t>01471 Burrows Lane</t>
  </si>
  <si>
    <t>30-429-2162</t>
  </si>
  <si>
    <t>05-100-7102</t>
  </si>
  <si>
    <t>Npath</t>
  </si>
  <si>
    <t>6382 Anniversary Pass</t>
  </si>
  <si>
    <t>53-446-8243</t>
  </si>
  <si>
    <t>51-666-7174</t>
  </si>
  <si>
    <t>757 Grasskamp Drive</t>
  </si>
  <si>
    <t>67-473-7093</t>
  </si>
  <si>
    <t>92-830-6986</t>
  </si>
  <si>
    <t>87417 Forest Pass</t>
  </si>
  <si>
    <t>98-235-2711</t>
  </si>
  <si>
    <t>Asparagus</t>
  </si>
  <si>
    <t>23-052-4744</t>
  </si>
  <si>
    <t>Devpoint</t>
  </si>
  <si>
    <t>5 Transport Pass</t>
  </si>
  <si>
    <t>07-219-8017</t>
  </si>
  <si>
    <t>95-148-9287</t>
  </si>
  <si>
    <t>Skibox</t>
  </si>
  <si>
    <t>357 High Crossing Parkway</t>
  </si>
  <si>
    <t>97-040-3822</t>
  </si>
  <si>
    <t>78-459-1417</t>
  </si>
  <si>
    <t>Gevee</t>
  </si>
  <si>
    <t>42 Clemons Terrace</t>
  </si>
  <si>
    <t>10-002-6494</t>
  </si>
  <si>
    <t>47-509-7282</t>
  </si>
  <si>
    <t>Meevee</t>
  </si>
  <si>
    <t>48 Vahlen Place</t>
  </si>
  <si>
    <t>12-998-3882</t>
  </si>
  <si>
    <t>06-151-9076</t>
  </si>
  <si>
    <t>94862 Beilfuss Terrace</t>
  </si>
  <si>
    <t>31-746-4951</t>
  </si>
  <si>
    <t>Whole Wheat Flour</t>
  </si>
  <si>
    <t>70-212-0990</t>
  </si>
  <si>
    <t>759 Waywood Court</t>
  </si>
  <si>
    <t>87-097-5691</t>
  </si>
  <si>
    <t>Robusta Coffee</t>
  </si>
  <si>
    <t>26-213-7885</t>
  </si>
  <si>
    <t>Photofeed</t>
  </si>
  <si>
    <t>236 Gateway Lane</t>
  </si>
  <si>
    <t>34-075-0371</t>
  </si>
  <si>
    <t>Watermelon</t>
  </si>
  <si>
    <t>32-771-2617</t>
  </si>
  <si>
    <t>Latz</t>
  </si>
  <si>
    <t>0039 Shelley Place</t>
  </si>
  <si>
    <t>40-810-9261</t>
  </si>
  <si>
    <t>56-554-1762</t>
  </si>
  <si>
    <t>Cogibox</t>
  </si>
  <si>
    <t>3 Raven Court</t>
  </si>
  <si>
    <t>46-931-6897</t>
  </si>
  <si>
    <t>22-946-8052</t>
  </si>
  <si>
    <t>44 Kensington Road</t>
  </si>
  <si>
    <t>58-182-6781</t>
  </si>
  <si>
    <t>75-328-1709</t>
  </si>
  <si>
    <t>Pixope</t>
  </si>
  <si>
    <t>86 Maryland Junction</t>
  </si>
  <si>
    <t>06-706-6490</t>
  </si>
  <si>
    <t>85-670-6379</t>
  </si>
  <si>
    <t>Tanoodle</t>
  </si>
  <si>
    <t>443 Browning Terrace</t>
  </si>
  <si>
    <t>47-578-4161</t>
  </si>
  <si>
    <t>Anchovies</t>
  </si>
  <si>
    <t>96-001-5429</t>
  </si>
  <si>
    <t>Jaxspan</t>
  </si>
  <si>
    <t>5 Forest Run Way</t>
  </si>
  <si>
    <t>18-199-5799</t>
  </si>
  <si>
    <t>76-870-2139</t>
  </si>
  <si>
    <t>Jayo</t>
  </si>
  <si>
    <t>87784 Blaine Way</t>
  </si>
  <si>
    <t>00-357-2313</t>
  </si>
  <si>
    <t>93-619-6639</t>
  </si>
  <si>
    <t>Quamba</t>
  </si>
  <si>
    <t>0 Oxford Crossing</t>
  </si>
  <si>
    <t>83-704-6367</t>
  </si>
  <si>
    <t>41-628-8713</t>
  </si>
  <si>
    <t>298 Corry Plaza</t>
  </si>
  <si>
    <t>01-144-5960</t>
  </si>
  <si>
    <t>80-848-7493</t>
  </si>
  <si>
    <t>Zazio</t>
  </si>
  <si>
    <t>52105 Mandrake Place</t>
  </si>
  <si>
    <t>96-774-0457</t>
  </si>
  <si>
    <t>71-991-5737</t>
  </si>
  <si>
    <t>Izio</t>
  </si>
  <si>
    <t>7369 Thackeray Drive</t>
  </si>
  <si>
    <t>24-310-9184</t>
  </si>
  <si>
    <t>69-378-2045</t>
  </si>
  <si>
    <t>Brainlounge</t>
  </si>
  <si>
    <t>6 Haas Circle</t>
  </si>
  <si>
    <t>10-255-8579</t>
  </si>
  <si>
    <t>Basmati Rice</t>
  </si>
  <si>
    <t>29-112-1577</t>
  </si>
  <si>
    <t>Trilia</t>
  </si>
  <si>
    <t>1959 Marcy Center</t>
  </si>
  <si>
    <t>38-417-4656</t>
  </si>
  <si>
    <t>57-202-5756</t>
  </si>
  <si>
    <t>1309 Elka Junction</t>
  </si>
  <si>
    <t>53-080-8252</t>
  </si>
  <si>
    <t>73-744-7022</t>
  </si>
  <si>
    <t>2 Grayhawk Junction</t>
  </si>
  <si>
    <t>14-681-7035</t>
  </si>
  <si>
    <t>01-308-0960</t>
  </si>
  <si>
    <t>Voolith</t>
  </si>
  <si>
    <t>95261 Morningstar Way</t>
  </si>
  <si>
    <t>96-503-7712</t>
  </si>
  <si>
    <t>97-325-5889</t>
  </si>
  <si>
    <t>Twitterbridge</t>
  </si>
  <si>
    <t>84148 Prairie Rose Center</t>
  </si>
  <si>
    <t>98-064-4465</t>
  </si>
  <si>
    <t>93-719-9817</t>
  </si>
  <si>
    <t>Feedfire</t>
  </si>
  <si>
    <t>109 Twin Pines Avenue</t>
  </si>
  <si>
    <t>84-198-7276</t>
  </si>
  <si>
    <t>34-158-6684</t>
  </si>
  <si>
    <t>6 Harbort Hill</t>
  </si>
  <si>
    <t>18-278-2383</t>
  </si>
  <si>
    <t>73-210-4267</t>
  </si>
  <si>
    <t>96 American Center</t>
  </si>
  <si>
    <t>20-054-3716</t>
  </si>
  <si>
    <t>49-591-1019</t>
  </si>
  <si>
    <t>JumpXS</t>
  </si>
  <si>
    <t>39 Lakewood Gardens Center</t>
  </si>
  <si>
    <t>63-822-5278</t>
  </si>
  <si>
    <t>27-636-1606</t>
  </si>
  <si>
    <t>5900 Vahlen Avenue</t>
  </si>
  <si>
    <t>01-439-6231</t>
  </si>
  <si>
    <t>Sunflower Oil</t>
  </si>
  <si>
    <t>08-490-1714</t>
  </si>
  <si>
    <t>8 Spaight Circle</t>
  </si>
  <si>
    <t>06-690-2335</t>
  </si>
  <si>
    <t>66-317-4895</t>
  </si>
  <si>
    <t>5 Linden Terrace</t>
  </si>
  <si>
    <t>47-554-5780</t>
  </si>
  <si>
    <t>62-979-5038</t>
  </si>
  <si>
    <t>Babbleopia</t>
  </si>
  <si>
    <t>1 Westport Crossing</t>
  </si>
  <si>
    <t>70-587-1204</t>
  </si>
  <si>
    <t>41-399-9203</t>
  </si>
  <si>
    <t>2446 Anhalt Way</t>
  </si>
  <si>
    <t>97-710-2449</t>
  </si>
  <si>
    <t>39-676-9308</t>
  </si>
  <si>
    <t>0 Miller Pass</t>
  </si>
  <si>
    <t>51-462-0747</t>
  </si>
  <si>
    <t>Lime</t>
  </si>
  <si>
    <t>40-417-9838</t>
  </si>
  <si>
    <t>453 Dryden Park</t>
  </si>
  <si>
    <t>90-492-0564</t>
  </si>
  <si>
    <t>18-085-1667</t>
  </si>
  <si>
    <t>54 Pawling Crossing</t>
  </si>
  <si>
    <t>63-956-0739</t>
  </si>
  <si>
    <t>17-123-1252</t>
  </si>
  <si>
    <t>Jetwire</t>
  </si>
  <si>
    <t>6808 Chinook Parkway</t>
  </si>
  <si>
    <t>30-832-5429</t>
  </si>
  <si>
    <t>41-800-2842</t>
  </si>
  <si>
    <t>Topicshots</t>
  </si>
  <si>
    <t>894 Kingsford Road</t>
  </si>
  <si>
    <t>38-822-8005</t>
  </si>
  <si>
    <t>45-886-1540</t>
  </si>
  <si>
    <t>Innojam</t>
  </si>
  <si>
    <t>6 Stang Hill</t>
  </si>
  <si>
    <t>73-118-1117</t>
  </si>
  <si>
    <t>55-557-8544</t>
  </si>
  <si>
    <t>482 Green Center</t>
  </si>
  <si>
    <t>60-285-3783</t>
  </si>
  <si>
    <t>58-827-9061</t>
  </si>
  <si>
    <t>37973 Parkside Junction</t>
  </si>
  <si>
    <t>00-215-7434</t>
  </si>
  <si>
    <t>85-272-3969</t>
  </si>
  <si>
    <t>Quatz</t>
  </si>
  <si>
    <t>389 Ridgeway Park</t>
  </si>
  <si>
    <t>68-734-1585</t>
  </si>
  <si>
    <t>54-537-5633</t>
  </si>
  <si>
    <t>3 Hagan Drive</t>
  </si>
  <si>
    <t>08-703-1382</t>
  </si>
  <si>
    <t>29-975-3449</t>
  </si>
  <si>
    <t>Wikizz</t>
  </si>
  <si>
    <t>082 Clove Plaza</t>
  </si>
  <si>
    <t>65-282-0419</t>
  </si>
  <si>
    <t>85-932-1011</t>
  </si>
  <si>
    <t>509 Waywood Center</t>
  </si>
  <si>
    <t>62-777-6010</t>
  </si>
  <si>
    <t>40-914-7156</t>
  </si>
  <si>
    <t>5743 Superior Place</t>
  </si>
  <si>
    <t>87-675-1506</t>
  </si>
  <si>
    <t>21-697-8128</t>
  </si>
  <si>
    <t>Skalith</t>
  </si>
  <si>
    <t>60241 Portage Point</t>
  </si>
  <si>
    <t>67-027-7269</t>
  </si>
  <si>
    <t>50-050-5707</t>
  </si>
  <si>
    <t>Twitterbeat</t>
  </si>
  <si>
    <t>615 Mayer Drive</t>
  </si>
  <si>
    <t>72-066-4597</t>
  </si>
  <si>
    <t>97-994-0773</t>
  </si>
  <si>
    <t>Zoovu</t>
  </si>
  <si>
    <t>03 Fisk Alley</t>
  </si>
  <si>
    <t>31-627-6025</t>
  </si>
  <si>
    <t>17-084-8551</t>
  </si>
  <si>
    <t>44638 Corscot Lane</t>
  </si>
  <si>
    <t>09-286-8107</t>
  </si>
  <si>
    <t>90-727-4816</t>
  </si>
  <si>
    <t>Skyndu</t>
  </si>
  <si>
    <t>75 Bunting Junction</t>
  </si>
  <si>
    <t>77-013-1553</t>
  </si>
  <si>
    <t>42-252-5861</t>
  </si>
  <si>
    <t>Yodo</t>
  </si>
  <si>
    <t>48788 Chinook Place</t>
  </si>
  <si>
    <t>15-762-1058</t>
  </si>
  <si>
    <t>32-914-1424</t>
  </si>
  <si>
    <t>Tazz</t>
  </si>
  <si>
    <t>083 Mccormick Park</t>
  </si>
  <si>
    <t>48-193-1199</t>
  </si>
  <si>
    <t>63-924-5144</t>
  </si>
  <si>
    <t>Omba</t>
  </si>
  <si>
    <t>339 Paget Place</t>
  </si>
  <si>
    <t>01-173-0029</t>
  </si>
  <si>
    <t>18-880-7910</t>
  </si>
  <si>
    <t>DabZ</t>
  </si>
  <si>
    <t>8 Dakota Avenue</t>
  </si>
  <si>
    <t>79-400-6216</t>
  </si>
  <si>
    <t>83-361-7509</t>
  </si>
  <si>
    <t>4 Warbler Center</t>
  </si>
  <si>
    <t>80-072-8774</t>
  </si>
  <si>
    <t>61-222-8413</t>
  </si>
  <si>
    <t>Viva</t>
  </si>
  <si>
    <t>239 Anderson Court</t>
  </si>
  <si>
    <t>78-689-8958</t>
  </si>
  <si>
    <t>52-744-6162</t>
  </si>
  <si>
    <t>04 Mesta Parkway</t>
  </si>
  <si>
    <t>57-562-2358</t>
  </si>
  <si>
    <t>22-644-6447</t>
  </si>
  <si>
    <t>00 6th Parkway</t>
  </si>
  <si>
    <t>56-191-6497</t>
  </si>
  <si>
    <t>65-395-5947</t>
  </si>
  <si>
    <t>Bubblebox</t>
  </si>
  <si>
    <t>844 Schurz Point</t>
  </si>
  <si>
    <t>46-753-8430</t>
  </si>
  <si>
    <t>35-042-9391</t>
  </si>
  <si>
    <t>Rhynyx</t>
  </si>
  <si>
    <t>60356 Derek Lane</t>
  </si>
  <si>
    <t>48-461-3742</t>
  </si>
  <si>
    <t>78-381-5054</t>
  </si>
  <si>
    <t>Zooveo</t>
  </si>
  <si>
    <t>42719 Milwaukee Avenue</t>
  </si>
  <si>
    <t>16-354-8122</t>
  </si>
  <si>
    <t>Digestive Biscuit</t>
  </si>
  <si>
    <t>61-604-8116</t>
  </si>
  <si>
    <t>BlogXS</t>
  </si>
  <si>
    <t>66 Raven Pass</t>
  </si>
  <si>
    <t>76-954-1442</t>
  </si>
  <si>
    <t>68-200-8955</t>
  </si>
  <si>
    <t>43024 Elka Avenue</t>
  </si>
  <si>
    <t>44-476-0390</t>
  </si>
  <si>
    <t>48-562-3582</t>
  </si>
  <si>
    <t>022 Pierstorff Point</t>
  </si>
  <si>
    <t>35-617-3857</t>
  </si>
  <si>
    <t>90-718-2724</t>
  </si>
  <si>
    <t>Youspan</t>
  </si>
  <si>
    <t>292 Charing Cross Terrace</t>
  </si>
  <si>
    <t>94-029-2717</t>
  </si>
  <si>
    <t>37-878-9392</t>
  </si>
  <si>
    <t>Jetpulse</t>
  </si>
  <si>
    <t>071 Nobel Circle</t>
  </si>
  <si>
    <t>49-526-7806</t>
  </si>
  <si>
    <t>Kale</t>
  </si>
  <si>
    <t>66-973-4855</t>
  </si>
  <si>
    <t>Yodoo</t>
  </si>
  <si>
    <t>6744 Helena Pass</t>
  </si>
  <si>
    <t>99-137-1730</t>
  </si>
  <si>
    <t>65-797-3468</t>
  </si>
  <si>
    <t>4105 Fair Oaks Parkway</t>
  </si>
  <si>
    <t>27-442-3654</t>
  </si>
  <si>
    <t>57-544-2465</t>
  </si>
  <si>
    <t>Yoveo</t>
  </si>
  <si>
    <t>67677 Lakewood Gardens Way</t>
  </si>
  <si>
    <t>32-933-0329</t>
  </si>
  <si>
    <t>86-760-5412</t>
  </si>
  <si>
    <t>57150 Del Sol Alley</t>
  </si>
  <si>
    <t>93-813-2419</t>
  </si>
  <si>
    <t>12-264-4503</t>
  </si>
  <si>
    <t>7407 Farragut Pass</t>
  </si>
  <si>
    <t>85-440-3667</t>
  </si>
  <si>
    <t>00-680-5333</t>
  </si>
  <si>
    <t>6151 Forster Drive</t>
  </si>
  <si>
    <t>77-224-2227</t>
  </si>
  <si>
    <t>89-226-5813</t>
  </si>
  <si>
    <t>Eimbee</t>
  </si>
  <si>
    <t>5426 Fordem Pass</t>
  </si>
  <si>
    <t>60-632-8752</t>
  </si>
  <si>
    <t>07-948-8632</t>
  </si>
  <si>
    <t>Trunyx</t>
  </si>
  <si>
    <t>48 Golf View Pass</t>
  </si>
  <si>
    <t>99-561-4871</t>
  </si>
  <si>
    <t>04-786-5408</t>
  </si>
  <si>
    <t>Buzzdog</t>
  </si>
  <si>
    <t>952 Rowland Junction</t>
  </si>
  <si>
    <t>61-607-7622</t>
  </si>
  <si>
    <t>77-175-2969</t>
  </si>
  <si>
    <t>Zoonoodle</t>
  </si>
  <si>
    <t>329 Helena Park</t>
  </si>
  <si>
    <t>11-745-3025</t>
  </si>
  <si>
    <t>54-711-1582</t>
  </si>
  <si>
    <t>3104 Ridge Oak Hill</t>
  </si>
  <si>
    <t>56-810-0550</t>
  </si>
  <si>
    <t>Mackerel</t>
  </si>
  <si>
    <t>94-145-9423</t>
  </si>
  <si>
    <t>Janyx</t>
  </si>
  <si>
    <t>376 Reinke Court</t>
  </si>
  <si>
    <t>59-075-2457</t>
  </si>
  <si>
    <t>18-733-2453</t>
  </si>
  <si>
    <t>Dynava</t>
  </si>
  <si>
    <t>2 Barby Lane</t>
  </si>
  <si>
    <t>40-021-2400</t>
  </si>
  <si>
    <t>62-648-2577</t>
  </si>
  <si>
    <t>265 Columbus Way</t>
  </si>
  <si>
    <t>29-017-6255</t>
  </si>
  <si>
    <t>43-348-2450</t>
  </si>
  <si>
    <t>20 Pennsylvania Parkway</t>
  </si>
  <si>
    <t>92-291-7089</t>
  </si>
  <si>
    <t>08-523-5066</t>
  </si>
  <si>
    <t>9307 Kingsford Road</t>
  </si>
  <si>
    <t>69-287-9113</t>
  </si>
  <si>
    <t>20-952-0731</t>
  </si>
  <si>
    <t>11 Golden Leaf Alley</t>
  </si>
  <si>
    <t>76-540-6407</t>
  </si>
  <si>
    <t>78-644-5877</t>
  </si>
  <si>
    <t>Demimbu</t>
  </si>
  <si>
    <t>77 Prairie Rose Park</t>
  </si>
  <si>
    <t>85-561-4694</t>
  </si>
  <si>
    <t>57-486-8971</t>
  </si>
  <si>
    <t>1 Lake View Trail</t>
  </si>
  <si>
    <t>34-928-2775</t>
  </si>
  <si>
    <t>07-959-3210</t>
  </si>
  <si>
    <t>Browseblab</t>
  </si>
  <si>
    <t>7945 Mayer Center</t>
  </si>
  <si>
    <t>90-773-9557</t>
  </si>
  <si>
    <t>02-165-5779</t>
  </si>
  <si>
    <t>904 Del Mar Crossing</t>
  </si>
  <si>
    <t>57-394-1587</t>
  </si>
  <si>
    <t>59-595-7531</t>
  </si>
  <si>
    <t>Roomm</t>
  </si>
  <si>
    <t>561 Blue Bill Park Road</t>
  </si>
  <si>
    <t>28-008-2951</t>
  </si>
  <si>
    <t>64-118-1480</t>
  </si>
  <si>
    <t>Buzzster</t>
  </si>
  <si>
    <t>26 Barnett Junction</t>
  </si>
  <si>
    <t>74-711-7160</t>
  </si>
  <si>
    <t>40-662-8853</t>
  </si>
  <si>
    <t>Meembee</t>
  </si>
  <si>
    <t>44296 Kropf Avenue</t>
  </si>
  <si>
    <t>22-895-6595</t>
  </si>
  <si>
    <t>18-445-5057</t>
  </si>
  <si>
    <t>34642 Carpenter Place</t>
  </si>
  <si>
    <t>19-214-5762</t>
  </si>
  <si>
    <t>88-108-3774</t>
  </si>
  <si>
    <t>Gigashots</t>
  </si>
  <si>
    <t>7 Bonner Terrace</t>
  </si>
  <si>
    <t>95-349-0828</t>
  </si>
  <si>
    <t>43-977-2343</t>
  </si>
  <si>
    <t>60 Towne Hill</t>
  </si>
  <si>
    <t>00-963-2193</t>
  </si>
  <si>
    <t>Milk</t>
  </si>
  <si>
    <t>39-521-8484</t>
  </si>
  <si>
    <t>Thoughtsphere</t>
  </si>
  <si>
    <t>5030 Moose Junction</t>
  </si>
  <si>
    <t>76-459-2392</t>
  </si>
  <si>
    <t>91-030-6609</t>
  </si>
  <si>
    <t>2005 Mccormick Road</t>
  </si>
  <si>
    <t>10-034-7654</t>
  </si>
  <si>
    <t>27-292-4656</t>
  </si>
  <si>
    <t>Zava</t>
  </si>
  <si>
    <t>21 Esker Way</t>
  </si>
  <si>
    <t>24-972-6969</t>
  </si>
  <si>
    <t>27-532-7847</t>
  </si>
  <si>
    <t>5862 Hooker Pass</t>
  </si>
  <si>
    <t>94-190-5193</t>
  </si>
  <si>
    <t>95-778-2888</t>
  </si>
  <si>
    <t>Quinu</t>
  </si>
  <si>
    <t>24385 Prentice Plaza</t>
  </si>
  <si>
    <t>92-791-0606</t>
  </si>
  <si>
    <t>56-050-1773</t>
  </si>
  <si>
    <t>739 Grayhawk Trail</t>
  </si>
  <si>
    <t>84-629-1532</t>
  </si>
  <si>
    <t>50-378-4320</t>
  </si>
  <si>
    <t>Chatterpoint</t>
  </si>
  <si>
    <t>7 Sloan Park</t>
  </si>
  <si>
    <t>68-977-2498</t>
  </si>
  <si>
    <t>Grapes</t>
  </si>
  <si>
    <t>26-222-1156</t>
  </si>
  <si>
    <t>Skinix</t>
  </si>
  <si>
    <t>6482 Ramsey Alley</t>
  </si>
  <si>
    <t>91-257-3672</t>
  </si>
  <si>
    <t>30-438-6295</t>
  </si>
  <si>
    <t>InnoZ</t>
  </si>
  <si>
    <t>10997 Dexter Parkway</t>
  </si>
  <si>
    <t>09-536-2626</t>
  </si>
  <si>
    <t>14-483-5712</t>
  </si>
  <si>
    <t>Fliptune</t>
  </si>
  <si>
    <t>205 Straubel Court</t>
  </si>
  <si>
    <t>61-801-8665</t>
  </si>
  <si>
    <t>78-283-9751</t>
  </si>
  <si>
    <t>Demivee</t>
  </si>
  <si>
    <t>58 La Follette Park</t>
  </si>
  <si>
    <t>38-296-6634</t>
  </si>
  <si>
    <t>41-083-3955</t>
  </si>
  <si>
    <t>160 Kings Street</t>
  </si>
  <si>
    <t>30-591-7275</t>
  </si>
  <si>
    <t>Brown Rice</t>
  </si>
  <si>
    <t>12-431-9207</t>
  </si>
  <si>
    <t>7020 Porter Trail</t>
  </si>
  <si>
    <t>83-763-5038</t>
  </si>
  <si>
    <t>26-438-8349</t>
  </si>
  <si>
    <t>Jatri</t>
  </si>
  <si>
    <t>5 Armistice Parkway</t>
  </si>
  <si>
    <t>37-709-3532</t>
  </si>
  <si>
    <t>08-439-3820</t>
  </si>
  <si>
    <t>524 Saint Paul Park</t>
  </si>
  <si>
    <t>62-795-7801</t>
  </si>
  <si>
    <t>08-312-0872</t>
  </si>
  <si>
    <t>94451 Arkansas Park</t>
  </si>
  <si>
    <t>98-575-4736</t>
  </si>
  <si>
    <t>44-429-6199</t>
  </si>
  <si>
    <t>Flashset</t>
  </si>
  <si>
    <t>83 Pleasure Street</t>
  </si>
  <si>
    <t>57-861-4379</t>
  </si>
  <si>
    <t>73-383-4390</t>
  </si>
  <si>
    <t>64407 Marcy Plaza</t>
  </si>
  <si>
    <t>00-119-8780</t>
  </si>
  <si>
    <t>Halibut</t>
  </si>
  <si>
    <t>14-703-2550</t>
  </si>
  <si>
    <t>21 Sunbrook Court</t>
  </si>
  <si>
    <t>28-824-9017</t>
  </si>
  <si>
    <t>93-712-3934</t>
  </si>
  <si>
    <t>4 Jay Terrace</t>
  </si>
  <si>
    <t>56-668-5370</t>
  </si>
  <si>
    <t>13-526-1392</t>
  </si>
  <si>
    <t>Vimbo</t>
  </si>
  <si>
    <t>05686 Golden Leaf Point</t>
  </si>
  <si>
    <t>29-756-7042</t>
  </si>
  <si>
    <t>20-426-2191</t>
  </si>
  <si>
    <t>Dabvine</t>
  </si>
  <si>
    <t>99 Fair Oaks Circle</t>
  </si>
  <si>
    <t>41-538-3129</t>
  </si>
  <si>
    <t>91-589-9007</t>
  </si>
  <si>
    <t>2 Carioca Crossing</t>
  </si>
  <si>
    <t>16-380-0753</t>
  </si>
  <si>
    <t>Apricot</t>
  </si>
  <si>
    <t>24-603-5521</t>
  </si>
  <si>
    <t>701 Logan Court</t>
  </si>
  <si>
    <t>26-535-4727</t>
  </si>
  <si>
    <t>17-939-1338</t>
  </si>
  <si>
    <t>Jamia</t>
  </si>
  <si>
    <t>4 Darwin Circle</t>
  </si>
  <si>
    <t>59-857-6577</t>
  </si>
  <si>
    <t>Evaporated Milk</t>
  </si>
  <si>
    <t>57-569-7172</t>
  </si>
  <si>
    <t>Blognation</t>
  </si>
  <si>
    <t>230 Tony Court</t>
  </si>
  <si>
    <t>14-550-2152</t>
  </si>
  <si>
    <t>60-003-2919</t>
  </si>
  <si>
    <t>Livepath</t>
  </si>
  <si>
    <t>3 Forster Point</t>
  </si>
  <si>
    <t>39-315-3936</t>
  </si>
  <si>
    <t>99-034-7010</t>
  </si>
  <si>
    <t>Yata</t>
  </si>
  <si>
    <t>850 Glacier Hill Drive</t>
  </si>
  <si>
    <t>87-199-2743</t>
  </si>
  <si>
    <t>Papaya</t>
  </si>
  <si>
    <t>54-907-6531</t>
  </si>
  <si>
    <t>38695 Kenwood Circle</t>
  </si>
  <si>
    <t>60-771-0879</t>
  </si>
  <si>
    <t>90-554-0576</t>
  </si>
  <si>
    <t>9 Karstens Center</t>
  </si>
  <si>
    <t>00-440-9568</t>
  </si>
  <si>
    <t>43-605-2448</t>
  </si>
  <si>
    <t>052 Northland Trail</t>
  </si>
  <si>
    <t>07-074-1196</t>
  </si>
  <si>
    <t>69-112-6969</t>
  </si>
  <si>
    <t>27 New Castle Avenue</t>
  </si>
  <si>
    <t>69-674-5387</t>
  </si>
  <si>
    <t>Yogurt</t>
  </si>
  <si>
    <t>04-313-0298</t>
  </si>
  <si>
    <t>Miboo</t>
  </si>
  <si>
    <t>6211 Hanson Terrace</t>
  </si>
  <si>
    <t>08-940-8578</t>
  </si>
  <si>
    <t>37-686-1726</t>
  </si>
  <si>
    <t>Oba</t>
  </si>
  <si>
    <t>74 Menomonie Point</t>
  </si>
  <si>
    <t>94-020-6982</t>
  </si>
  <si>
    <t>72-649-3163</t>
  </si>
  <si>
    <t>381 Rutledge Place</t>
  </si>
  <si>
    <t>42-879-9478</t>
  </si>
  <si>
    <t>00-900-0119</t>
  </si>
  <si>
    <t>Zoonder</t>
  </si>
  <si>
    <t>86 Porter Junction</t>
  </si>
  <si>
    <t>00-405-7428</t>
  </si>
  <si>
    <t>Apple</t>
  </si>
  <si>
    <t>42-746-2717</t>
  </si>
  <si>
    <t>42 Mallory Court</t>
  </si>
  <si>
    <t>87-997-0228</t>
  </si>
  <si>
    <t>55-156-6528</t>
  </si>
  <si>
    <t>26240 Maple Wood Place</t>
  </si>
  <si>
    <t>05-498-7751</t>
  </si>
  <si>
    <t>17-963-6051</t>
  </si>
  <si>
    <t>Abata</t>
  </si>
  <si>
    <t>30408 5th Way</t>
  </si>
  <si>
    <t>55-631-7937</t>
  </si>
  <si>
    <t>79-508-5241</t>
  </si>
  <si>
    <t>Avamba</t>
  </si>
  <si>
    <t>82 Drewry Junction</t>
  </si>
  <si>
    <t>27-389-3529</t>
  </si>
  <si>
    <t>73-201-2803</t>
  </si>
  <si>
    <t>Feedfish</t>
  </si>
  <si>
    <t>234 Eagle Crest Avenue</t>
  </si>
  <si>
    <t>84-272-0790</t>
  </si>
  <si>
    <t>00-635-4638</t>
  </si>
  <si>
    <t>53 Caliangt Junction</t>
  </si>
  <si>
    <t>01-903-5373</t>
  </si>
  <si>
    <t>37-902-0286</t>
  </si>
  <si>
    <t>Lazz</t>
  </si>
  <si>
    <t>32525 Marquette Park</t>
  </si>
  <si>
    <t>49-311-3063</t>
  </si>
  <si>
    <t>15-947-9718</t>
  </si>
  <si>
    <t>Talane</t>
  </si>
  <si>
    <t>71 Bultman Drive</t>
  </si>
  <si>
    <t>04-277-5245</t>
  </si>
  <si>
    <t>Coconut Sugar</t>
  </si>
  <si>
    <t>90-175-7764</t>
  </si>
  <si>
    <t>911 Ridgeway Way</t>
  </si>
  <si>
    <t>04-453-5485</t>
  </si>
  <si>
    <t>Tomato</t>
  </si>
  <si>
    <t>43-880-2879</t>
  </si>
  <si>
    <t>2 Sunbrook Lane</t>
  </si>
  <si>
    <t>42-141-5718</t>
  </si>
  <si>
    <t>67-662-3444</t>
  </si>
  <si>
    <t>1700 Briar Crest Parkway</t>
  </si>
  <si>
    <t>89-602-6755</t>
  </si>
  <si>
    <t>51-054-3811</t>
  </si>
  <si>
    <t>4 Bashford Court</t>
  </si>
  <si>
    <t>15-045-8444</t>
  </si>
  <si>
    <t>29-143-2001</t>
  </si>
  <si>
    <t>Aibox</t>
  </si>
  <si>
    <t>97 Thierer Terrace</t>
  </si>
  <si>
    <t>15-240-6267</t>
  </si>
  <si>
    <t>12-983-3026</t>
  </si>
  <si>
    <t>Mybuzz</t>
  </si>
  <si>
    <t>25784 Old Gate Crossing</t>
  </si>
  <si>
    <t>05-193-8096</t>
  </si>
  <si>
    <t>86-709-5618</t>
  </si>
  <si>
    <t>Rhynoodle</t>
  </si>
  <si>
    <t>38 Rutledge Plaza</t>
  </si>
  <si>
    <t>93-342-8794</t>
  </si>
  <si>
    <t>93-688-1260</t>
  </si>
  <si>
    <t>39102 Division Trail</t>
  </si>
  <si>
    <t>83-716-2177</t>
  </si>
  <si>
    <t>79-518-8344</t>
  </si>
  <si>
    <t>Linktype</t>
  </si>
  <si>
    <t>26266 Esker Point</t>
  </si>
  <si>
    <t>56-635-6764</t>
  </si>
  <si>
    <t>20-257-6927</t>
  </si>
  <si>
    <t>744 Green Center</t>
  </si>
  <si>
    <t>10-249-7928</t>
  </si>
  <si>
    <t>69-861-0313</t>
  </si>
  <si>
    <t>57598 Russell Center</t>
  </si>
  <si>
    <t>65-759-3721</t>
  </si>
  <si>
    <t>21-634-5781</t>
  </si>
  <si>
    <t>Vipe</t>
  </si>
  <si>
    <t>315 Acker Alley</t>
  </si>
  <si>
    <t>08-725-8156</t>
  </si>
  <si>
    <t>32-196-4714</t>
  </si>
  <si>
    <t>73397 Steensland Circle</t>
  </si>
  <si>
    <t>15-679-3935</t>
  </si>
  <si>
    <t>35-906-1010</t>
  </si>
  <si>
    <t>Jabbersphere</t>
  </si>
  <si>
    <t>95 Garrison Plaza</t>
  </si>
  <si>
    <t>81-578-7404</t>
  </si>
  <si>
    <t>90-177-6733</t>
  </si>
  <si>
    <t>Rhyloo</t>
  </si>
  <si>
    <t>5989 Longview Drive</t>
  </si>
  <si>
    <t>82-380-5378</t>
  </si>
  <si>
    <t>96-353-3049</t>
  </si>
  <si>
    <t>Oozz</t>
  </si>
  <si>
    <t>05518 Saint Paul Street</t>
  </si>
  <si>
    <t>78-362-8578</t>
  </si>
  <si>
    <t>57-633-6273</t>
  </si>
  <si>
    <t>86 Corben Crossing</t>
  </si>
  <si>
    <t>32-261-0008</t>
  </si>
  <si>
    <t>26-073-5798</t>
  </si>
  <si>
    <t>2 Kingsford Center</t>
  </si>
  <si>
    <t>74-943-9034</t>
  </si>
  <si>
    <t>15-739-5480</t>
  </si>
  <si>
    <t>0 Saint Paul Center</t>
  </si>
  <si>
    <t>86-330-0214</t>
  </si>
  <si>
    <t>87-840-7803</t>
  </si>
  <si>
    <t>5818 Twin Pines Place</t>
  </si>
  <si>
    <t>80-334-0215</t>
  </si>
  <si>
    <t>19-156-3869</t>
  </si>
  <si>
    <t>Camimbo</t>
  </si>
  <si>
    <t>611 Waubesa Circle</t>
  </si>
  <si>
    <t>48-957-8596</t>
  </si>
  <si>
    <t>40-817-2222</t>
  </si>
  <si>
    <t>3825 Raven Avenue</t>
  </si>
  <si>
    <t>37-246-0018</t>
  </si>
  <si>
    <t>61-907-0994</t>
  </si>
  <si>
    <t>Skilith</t>
  </si>
  <si>
    <t>52 Alpine Crossing</t>
  </si>
  <si>
    <t>17-002-4721</t>
  </si>
  <si>
    <t>38-310-4533</t>
  </si>
  <si>
    <t>379 Duke Court</t>
  </si>
  <si>
    <t>47-802-5023</t>
  </si>
  <si>
    <t>51-010-8144</t>
  </si>
  <si>
    <t>7096 Mcguire Park</t>
  </si>
  <si>
    <t>22-319-1377</t>
  </si>
  <si>
    <t>82-266-1796</t>
  </si>
  <si>
    <t>Skyba</t>
  </si>
  <si>
    <t>083 Gulseth Pass</t>
  </si>
  <si>
    <t>57-903-6434</t>
  </si>
  <si>
    <t>30-460-3122</t>
  </si>
  <si>
    <t>34 Linden Court</t>
  </si>
  <si>
    <t>22-083-3347</t>
  </si>
  <si>
    <t>01-431-7544</t>
  </si>
  <si>
    <t>38 Superior Road</t>
  </si>
  <si>
    <t>65-145-9672</t>
  </si>
  <si>
    <t>65-068-1200</t>
  </si>
  <si>
    <t>8 Dovetail Junction</t>
  </si>
  <si>
    <t>95-252-9619</t>
  </si>
  <si>
    <t>38-819-2922</t>
  </si>
  <si>
    <t>57453 Northwestern Alley</t>
  </si>
  <si>
    <t>74-294-3760</t>
  </si>
  <si>
    <t>81-233-6894</t>
  </si>
  <si>
    <t>0109 Stang Terrace</t>
  </si>
  <si>
    <t>06-797-4963</t>
  </si>
  <si>
    <t>41-821-0197</t>
  </si>
  <si>
    <t>1008 Welch Street</t>
  </si>
  <si>
    <t>39-768-8205</t>
  </si>
  <si>
    <t>07-987-4536</t>
  </si>
  <si>
    <t>Gigabox</t>
  </si>
  <si>
    <t>32 Rigney Terrace</t>
  </si>
  <si>
    <t>03-043-9933</t>
  </si>
  <si>
    <t>48-450-4126</t>
  </si>
  <si>
    <t>884 Fieldstone Plaza</t>
  </si>
  <si>
    <t>29-823-6004</t>
  </si>
  <si>
    <t>10-295-7996</t>
  </si>
  <si>
    <t>3 Lawn Park</t>
  </si>
  <si>
    <t>40-462-2952</t>
  </si>
  <si>
    <t>57-323-8059</t>
  </si>
  <si>
    <t>0258 Shoshone Center</t>
  </si>
  <si>
    <t>71-999-2404</t>
  </si>
  <si>
    <t>01-285-0018</t>
  </si>
  <si>
    <t>Meezzy</t>
  </si>
  <si>
    <t>18 Warrior Circle</t>
  </si>
  <si>
    <t>03-919-9890</t>
  </si>
  <si>
    <t>69-289-8783</t>
  </si>
  <si>
    <t>Wikibox</t>
  </si>
  <si>
    <t>7 Riverside Road</t>
  </si>
  <si>
    <t>94-525-6925</t>
  </si>
  <si>
    <t>31-892-6816</t>
  </si>
  <si>
    <t>Kwilith</t>
  </si>
  <si>
    <t>667 Arkansas Circle</t>
  </si>
  <si>
    <t>08-213-2058</t>
  </si>
  <si>
    <t>13-179-9553</t>
  </si>
  <si>
    <t>33 Clarendon Hill</t>
  </si>
  <si>
    <t>51-312-8608</t>
  </si>
  <si>
    <t>06-315-0552</t>
  </si>
  <si>
    <t>406 Westridge Alley</t>
  </si>
  <si>
    <t>67-512-9754</t>
  </si>
  <si>
    <t>35-941-2585</t>
  </si>
  <si>
    <t>69 Orin Plaza</t>
  </si>
  <si>
    <t>45-402-0421</t>
  </si>
  <si>
    <t>87-201-6047</t>
  </si>
  <si>
    <t>36 Longview Street</t>
  </si>
  <si>
    <t>85-207-4164</t>
  </si>
  <si>
    <t>07-067-3439</t>
  </si>
  <si>
    <t>41 Comanche Park</t>
  </si>
  <si>
    <t>72-780-6006</t>
  </si>
  <si>
    <t>81-292-4650</t>
  </si>
  <si>
    <t>88721 Dawn Crossing</t>
  </si>
  <si>
    <t>93-166-3169</t>
  </si>
  <si>
    <t>21-156-0102</t>
  </si>
  <si>
    <t>339 Crescent Oaks Plaza</t>
  </si>
  <si>
    <t>21-718-6746</t>
  </si>
  <si>
    <t>96-012-3393</t>
  </si>
  <si>
    <t>Eamia</t>
  </si>
  <si>
    <t>277 Pawling Terrace</t>
  </si>
  <si>
    <t>93-966-7754</t>
  </si>
  <si>
    <t>78-787-7171</t>
  </si>
  <si>
    <t>4 4th Place</t>
  </si>
  <si>
    <t>47-663-5703</t>
  </si>
  <si>
    <t>52-062-2916</t>
  </si>
  <si>
    <t>6500 Raven Drive</t>
  </si>
  <si>
    <t>34-110-1040</t>
  </si>
  <si>
    <t>14-427-6604</t>
  </si>
  <si>
    <t>Leenti</t>
  </si>
  <si>
    <t>42397 Knutson Place</t>
  </si>
  <si>
    <t>82-342-7339</t>
  </si>
  <si>
    <t>Vanilla Biscuit</t>
  </si>
  <si>
    <t>14-325-9173</t>
  </si>
  <si>
    <t>Yozio</t>
  </si>
  <si>
    <t>317 Anniversary Pass</t>
  </si>
  <si>
    <t>43-670-8544</t>
  </si>
  <si>
    <t>16-656-4821</t>
  </si>
  <si>
    <t>Camido</t>
  </si>
  <si>
    <t>3 Logan Trail</t>
  </si>
  <si>
    <t>12-439-8428</t>
  </si>
  <si>
    <t>43-542-6868</t>
  </si>
  <si>
    <t>Ainyx</t>
  </si>
  <si>
    <t>6 Rusk Pass</t>
  </si>
  <si>
    <t>49-919-8798</t>
  </si>
  <si>
    <t>82-482-3670</t>
  </si>
  <si>
    <t>3 Dottie Junction</t>
  </si>
  <si>
    <t>73-567-6194</t>
  </si>
  <si>
    <t>81-927-7236</t>
  </si>
  <si>
    <t>Yakitri</t>
  </si>
  <si>
    <t>069 Basil Center</t>
  </si>
  <si>
    <t>83-573-4586</t>
  </si>
  <si>
    <t>91-191-2324</t>
  </si>
  <si>
    <t>Thoughtbeat</t>
  </si>
  <si>
    <t>84575 Randy Point</t>
  </si>
  <si>
    <t>12-798-9401</t>
  </si>
  <si>
    <t>96-609-6152</t>
  </si>
  <si>
    <t>5 Forster Point</t>
  </si>
  <si>
    <t>02-895-7781</t>
  </si>
  <si>
    <t>23-109-2205</t>
  </si>
  <si>
    <t>Tagchat</t>
  </si>
  <si>
    <t>2582 Autumn Leaf Park</t>
  </si>
  <si>
    <t>83-625-3618</t>
  </si>
  <si>
    <t>64-528-9996</t>
  </si>
  <si>
    <t>Realmix</t>
  </si>
  <si>
    <t>2696 Katie Road</t>
  </si>
  <si>
    <t>89-181-4523</t>
  </si>
  <si>
    <t>Wild Rice</t>
  </si>
  <si>
    <t>54-749-3622</t>
  </si>
  <si>
    <t>022 Prairie Rose Drive</t>
  </si>
  <si>
    <t>95-354-8583</t>
  </si>
  <si>
    <t>02-057-9401</t>
  </si>
  <si>
    <t>848 Mariners Cove Junction</t>
  </si>
  <si>
    <t>90-303-1821</t>
  </si>
  <si>
    <t>96-786-0667</t>
  </si>
  <si>
    <t>Edgewire</t>
  </si>
  <si>
    <t>6435 Burning Wood Drive</t>
  </si>
  <si>
    <t>71-631-5875</t>
  </si>
  <si>
    <t>Salmon</t>
  </si>
  <si>
    <t>91-859-1733</t>
  </si>
  <si>
    <t>13 Loomis Alley</t>
  </si>
  <si>
    <t>02-275-6061</t>
  </si>
  <si>
    <t>21-829-0398</t>
  </si>
  <si>
    <t>6891 Mandrake Park</t>
  </si>
  <si>
    <t>04-001-1793</t>
  </si>
  <si>
    <t>29-359-0109</t>
  </si>
  <si>
    <t>0 Stoughton Terrace</t>
  </si>
  <si>
    <t>47-749-3277</t>
  </si>
  <si>
    <t>96-551-3929</t>
  </si>
  <si>
    <t>502 Sachs Circle</t>
  </si>
  <si>
    <t>37-666-3902</t>
  </si>
  <si>
    <t>58-536-6583</t>
  </si>
  <si>
    <t>85276 Lakewood Gardens Alley</t>
  </si>
  <si>
    <t>73-942-0508</t>
  </si>
  <si>
    <t>37-057-3553</t>
  </si>
  <si>
    <t>1034 2nd Point</t>
  </si>
  <si>
    <t>57-359-3397</t>
  </si>
  <si>
    <t>54-659-1177</t>
  </si>
  <si>
    <t>Twiyo</t>
  </si>
  <si>
    <t>81071 West Alley</t>
  </si>
  <si>
    <t>46-436-5351</t>
  </si>
  <si>
    <t>07-471-0050</t>
  </si>
  <si>
    <t>226 Calypso Road</t>
  </si>
  <si>
    <t>27-881-1177</t>
  </si>
  <si>
    <t>64-807-5250</t>
  </si>
  <si>
    <t>1223 Monument Drive</t>
  </si>
  <si>
    <t>85-237-3505</t>
  </si>
  <si>
    <t>92-296-1266</t>
  </si>
  <si>
    <t>20073 Northfield Way</t>
  </si>
  <si>
    <t>80-371-3695</t>
  </si>
  <si>
    <t>42-254-7371</t>
  </si>
  <si>
    <t>Divape</t>
  </si>
  <si>
    <t>163 Esch Pass</t>
  </si>
  <si>
    <t>04-758-0410</t>
  </si>
  <si>
    <t>56-231-2524</t>
  </si>
  <si>
    <t>Wordpedia</t>
  </si>
  <si>
    <t>5 Toban Circle</t>
  </si>
  <si>
    <t>65-644-1394</t>
  </si>
  <si>
    <t>23-280-1300</t>
  </si>
  <si>
    <t>582 Dahle Center</t>
  </si>
  <si>
    <t>04-293-6969</t>
  </si>
  <si>
    <t>69-087-6645</t>
  </si>
  <si>
    <t>0 Oak Valley Lane</t>
  </si>
  <si>
    <t>40-997-2786</t>
  </si>
  <si>
    <t>18-743-4684</t>
  </si>
  <si>
    <t>5551 Mallory Lane</t>
  </si>
  <si>
    <t>91-553-1774</t>
  </si>
  <si>
    <t>74-943-4552</t>
  </si>
  <si>
    <t>84 Washington Crossing</t>
  </si>
  <si>
    <t>13-980-8804</t>
  </si>
  <si>
    <t>Sweet Potato</t>
  </si>
  <si>
    <t>20-608-1290</t>
  </si>
  <si>
    <t>41 Nelson Center</t>
  </si>
  <si>
    <t>19-672-8982</t>
  </si>
  <si>
    <t>50-214-3802</t>
  </si>
  <si>
    <t>285 East Plaza</t>
  </si>
  <si>
    <t>35-299-0889</t>
  </si>
  <si>
    <t>Coconut Oil</t>
  </si>
  <si>
    <t>16-776-9987</t>
  </si>
  <si>
    <t>95 Packers Lane</t>
  </si>
  <si>
    <t>17-022-9721</t>
  </si>
  <si>
    <t>59-629-0798</t>
  </si>
  <si>
    <t>39 Dahle Alley</t>
  </si>
  <si>
    <t>22-849-2551</t>
  </si>
  <si>
    <t>14-231-9135</t>
  </si>
  <si>
    <t>81533 John Wall Court</t>
  </si>
  <si>
    <t>53-050-8242</t>
  </si>
  <si>
    <t>31-163-5871</t>
  </si>
  <si>
    <t>9 Cordelia Trail</t>
  </si>
  <si>
    <t>88-183-5781</t>
  </si>
  <si>
    <t>Whole Wheat Bread</t>
  </si>
  <si>
    <t>49-247-1217</t>
  </si>
  <si>
    <t>46 Delaware Place</t>
  </si>
  <si>
    <t>09-101-1740</t>
  </si>
  <si>
    <t>63-836-1262</t>
  </si>
  <si>
    <t>96629 Nova Plaza</t>
  </si>
  <si>
    <t>98-445-7372</t>
  </si>
  <si>
    <t>71-676-6562</t>
  </si>
  <si>
    <t>8531 Manley Court</t>
  </si>
  <si>
    <t>29-875-6900</t>
  </si>
  <si>
    <t>78-098-4468</t>
  </si>
  <si>
    <t>2 Sachtjen Park</t>
  </si>
  <si>
    <t>27-757-4489</t>
  </si>
  <si>
    <t>04-456-0715</t>
  </si>
  <si>
    <t>27535 Morrow Avenue</t>
  </si>
  <si>
    <t>51-069-0489</t>
  </si>
  <si>
    <t>19-978-0708</t>
  </si>
  <si>
    <t>Oloo</t>
  </si>
  <si>
    <t>3 Anthes Place</t>
  </si>
  <si>
    <t>20-325-1965</t>
  </si>
  <si>
    <t>97-155-1262</t>
  </si>
  <si>
    <t>78884 Union Street</t>
  </si>
  <si>
    <t>76-090-4411</t>
  </si>
  <si>
    <t>82-552-6786</t>
  </si>
  <si>
    <t>15 Loomis Avenue</t>
  </si>
  <si>
    <t>01-703-8441</t>
  </si>
  <si>
    <t>91-216-7668</t>
  </si>
  <si>
    <t>4029 Lotheville Pass</t>
  </si>
  <si>
    <t>09-622-7119</t>
  </si>
  <si>
    <t>59-781-3399</t>
  </si>
  <si>
    <t>Youtags</t>
  </si>
  <si>
    <t>665 Sommers Circle</t>
  </si>
  <si>
    <t>45-172-7012</t>
  </si>
  <si>
    <t>95-721-9228</t>
  </si>
  <si>
    <t>11 Kedzie Avenue</t>
  </si>
  <si>
    <t>06-849-4869</t>
  </si>
  <si>
    <t>39-464-7300</t>
  </si>
  <si>
    <t>Rhycero</t>
  </si>
  <si>
    <t>041 Paget Alley</t>
  </si>
  <si>
    <t>30-996-2526</t>
  </si>
  <si>
    <t>30-942-0054</t>
  </si>
  <si>
    <t>77 Monterey Avenue</t>
  </si>
  <si>
    <t>71-074-6292</t>
  </si>
  <si>
    <t>42-201-4495</t>
  </si>
  <si>
    <t>Plajo</t>
  </si>
  <si>
    <t>338 Annamark Court</t>
  </si>
  <si>
    <t>98-909-9395</t>
  </si>
  <si>
    <t>74-119-5491</t>
  </si>
  <si>
    <t>43 Heath Street</t>
  </si>
  <si>
    <t>61-796-6540</t>
  </si>
  <si>
    <t>40-002-8400</t>
  </si>
  <si>
    <t>126 Spohn Plaza</t>
  </si>
  <si>
    <t>41-735-9837</t>
  </si>
  <si>
    <t>35-462-7569</t>
  </si>
  <si>
    <t>Devpulse</t>
  </si>
  <si>
    <t>2374 Chive Court</t>
  </si>
  <si>
    <t>60-343-3288</t>
  </si>
  <si>
    <t>22-940-6543</t>
  </si>
  <si>
    <t>6 Hanover Terrace</t>
  </si>
  <si>
    <t>27-783-5470</t>
  </si>
  <si>
    <t>45-997-6429</t>
  </si>
  <si>
    <t>6 Tony Junction</t>
  </si>
  <si>
    <t>60-456-8169</t>
  </si>
  <si>
    <t>54-529-4459</t>
  </si>
  <si>
    <t>Oyoba</t>
  </si>
  <si>
    <t>710 Service Park</t>
  </si>
  <si>
    <t>99-420-3592</t>
  </si>
  <si>
    <t>88-647-5082</t>
  </si>
  <si>
    <t>206 Pine View Junction</t>
  </si>
  <si>
    <t>35-836-6718</t>
  </si>
  <si>
    <t>27-838-4345</t>
  </si>
  <si>
    <t>05 Canary Circle</t>
  </si>
  <si>
    <t>51-273-4240</t>
  </si>
  <si>
    <t>32-506-0556</t>
  </si>
  <si>
    <t>7 Prairieview Place</t>
  </si>
  <si>
    <t>38-924-3007</t>
  </si>
  <si>
    <t>83-936-5065</t>
  </si>
  <si>
    <t>Photolist</t>
  </si>
  <si>
    <t>6 Anthes Court</t>
  </si>
  <si>
    <t>52-123-8039</t>
  </si>
  <si>
    <t>24-087-5935</t>
  </si>
  <si>
    <t>Browsebug</t>
  </si>
  <si>
    <t>7 Schiller Court</t>
  </si>
  <si>
    <t>34-131-8805</t>
  </si>
  <si>
    <t>84-472-8001</t>
  </si>
  <si>
    <t>44249 Sutteridge Crossing</t>
  </si>
  <si>
    <t>28-505-8317</t>
  </si>
  <si>
    <t>61-755-4469</t>
  </si>
  <si>
    <t>Digitube</t>
  </si>
  <si>
    <t>848 Old Gate Parkway</t>
  </si>
  <si>
    <t>41-594-5069</t>
  </si>
  <si>
    <t>45-471-5053</t>
  </si>
  <si>
    <t>Blogtags</t>
  </si>
  <si>
    <t>9 Clemons Hill</t>
  </si>
  <si>
    <t>94-658-4945</t>
  </si>
  <si>
    <t>09-153-0763</t>
  </si>
  <si>
    <t>15 Veith Circle</t>
  </si>
  <si>
    <t>69-561-2496</t>
  </si>
  <si>
    <t>38-790-7081</t>
  </si>
  <si>
    <t>154 Delladonna Hill</t>
  </si>
  <si>
    <t>98-858-6323</t>
  </si>
  <si>
    <t>79-086-1717</t>
  </si>
  <si>
    <t>80729 Homewood Plaza</t>
  </si>
  <si>
    <t>92-995-8689</t>
  </si>
  <si>
    <t>18-682-7828</t>
  </si>
  <si>
    <t>1 Merchant Circle</t>
  </si>
  <si>
    <t>43-164-5984</t>
  </si>
  <si>
    <t>10-008-6747</t>
  </si>
  <si>
    <t>Shuffletag</t>
  </si>
  <si>
    <t>70862 Lighthouse Bay Junction</t>
  </si>
  <si>
    <t>58-122-2282</t>
  </si>
  <si>
    <t>55-773-9118</t>
  </si>
  <si>
    <t>96 American Ash Center</t>
  </si>
  <si>
    <t>84-269-9130</t>
  </si>
  <si>
    <t>88-615-2915</t>
  </si>
  <si>
    <t>49263 Graceland Pass</t>
  </si>
  <si>
    <t>11-922-3342</t>
  </si>
  <si>
    <t>33-523-9077</t>
  </si>
  <si>
    <t>Gabspot</t>
  </si>
  <si>
    <t>094 Carberry Lane</t>
  </si>
  <si>
    <t>60-550-4771</t>
  </si>
  <si>
    <t>24-568-9517</t>
  </si>
  <si>
    <t>Kwimbee</t>
  </si>
  <si>
    <t>1 Monica Lane</t>
  </si>
  <si>
    <t>88-951-9038</t>
  </si>
  <si>
    <t>14-713-5795</t>
  </si>
  <si>
    <t>5 Anderson Trail</t>
  </si>
  <si>
    <t>08-114-3922</t>
  </si>
  <si>
    <t>19-418-7213</t>
  </si>
  <si>
    <t>709 Vidon Avenue</t>
  </si>
  <si>
    <t>70-145-2550</t>
  </si>
  <si>
    <t>75-849-4524</t>
  </si>
  <si>
    <t>5141 Anniversary Crossing</t>
  </si>
  <si>
    <t>51-761-6320</t>
  </si>
  <si>
    <t>28-461-1136</t>
  </si>
  <si>
    <t>Youopia</t>
  </si>
  <si>
    <t>587 Vermont Terrace</t>
  </si>
  <si>
    <t>55-803-3964</t>
  </si>
  <si>
    <t>75-906-1086</t>
  </si>
  <si>
    <t>149 Valley Edge Point</t>
  </si>
  <si>
    <t>11-815-7923</t>
  </si>
  <si>
    <t>98-304-8407</t>
  </si>
  <si>
    <t>89 Springs Alley</t>
  </si>
  <si>
    <t>83-966-3280</t>
  </si>
  <si>
    <t>50-305-3936</t>
  </si>
  <si>
    <t>Twitterworks</t>
  </si>
  <si>
    <t>0743 4th Place</t>
  </si>
  <si>
    <t>29-592-7315</t>
  </si>
  <si>
    <t>61-867-3019</t>
  </si>
  <si>
    <t>Dabtype</t>
  </si>
  <si>
    <t>21625 Schlimgen Park</t>
  </si>
  <si>
    <t>65-235-7676</t>
  </si>
  <si>
    <t>22-083-3504</t>
  </si>
  <si>
    <t>31208 Westerfield Way</t>
  </si>
  <si>
    <t>40-683-0283</t>
  </si>
  <si>
    <t>27-060-9944</t>
  </si>
  <si>
    <t>322 Birchwood Center</t>
  </si>
  <si>
    <t>83-553-9523</t>
  </si>
  <si>
    <t>89-976-4338</t>
  </si>
  <si>
    <t>84336 Haas Place</t>
  </si>
  <si>
    <t>40-793-7235</t>
  </si>
  <si>
    <t>89-048-3542</t>
  </si>
  <si>
    <t>68086 Crowley Circle</t>
  </si>
  <si>
    <t>74-666-5671</t>
  </si>
  <si>
    <t>58-657-7257</t>
  </si>
  <si>
    <t>11263 Kipling Hill</t>
  </si>
  <si>
    <t>90-865-9150</t>
  </si>
  <si>
    <t>58-053-4926</t>
  </si>
  <si>
    <t>Kazu</t>
  </si>
  <si>
    <t>00029 Fisk Point</t>
  </si>
  <si>
    <t>46-255-3073</t>
  </si>
  <si>
    <t>68-230-9130</t>
  </si>
  <si>
    <t>57 Eastwood Junction</t>
  </si>
  <si>
    <t>11-155-7826</t>
  </si>
  <si>
    <t>91-788-3177</t>
  </si>
  <si>
    <t>321 Barby Parkway</t>
  </si>
  <si>
    <t>99-543-5039</t>
  </si>
  <si>
    <t>63-683-7396</t>
  </si>
  <si>
    <t>71796 Waubesa Terrace</t>
  </si>
  <si>
    <t>99-033-5661</t>
  </si>
  <si>
    <t>32-458-6452</t>
  </si>
  <si>
    <t>289 Longview Point</t>
  </si>
  <si>
    <t>28-608-0039</t>
  </si>
  <si>
    <t>26-796-0872</t>
  </si>
  <si>
    <t>Avavee</t>
  </si>
  <si>
    <t>31057 Roth Place</t>
  </si>
  <si>
    <t>35-529-2933</t>
  </si>
  <si>
    <t>57-591-6452</t>
  </si>
  <si>
    <t>2 School Drive</t>
  </si>
  <si>
    <t>83-321-7887</t>
  </si>
  <si>
    <t>70-444-9176</t>
  </si>
  <si>
    <t>35598 Fuller Terrace</t>
  </si>
  <si>
    <t>43-910-2342</t>
  </si>
  <si>
    <t>06-569-4690</t>
  </si>
  <si>
    <t>46758 Hallows Center</t>
  </si>
  <si>
    <t>21-633-8696</t>
  </si>
  <si>
    <t>89-468-2696</t>
  </si>
  <si>
    <t>08492 Gateway Terrace</t>
  </si>
  <si>
    <t>76-401-7083</t>
  </si>
  <si>
    <t>29-156-0691</t>
  </si>
  <si>
    <t>31892 Pennsylvania Street</t>
  </si>
  <si>
    <t>92-551-8504</t>
  </si>
  <si>
    <t>22-836-5101</t>
  </si>
  <si>
    <t>461 Bluejay Circle</t>
  </si>
  <si>
    <t>76-264-0748</t>
  </si>
  <si>
    <t>27-557-2375</t>
  </si>
  <si>
    <t>55 Morning Terrace</t>
  </si>
  <si>
    <t>88-586-8797</t>
  </si>
  <si>
    <t>02-530-5932</t>
  </si>
  <si>
    <t>9469 Bayside Plaza</t>
  </si>
  <si>
    <t>21-993-5632</t>
  </si>
  <si>
    <t>26-860-4618</t>
  </si>
  <si>
    <t>Innotype</t>
  </si>
  <si>
    <t>16730 Luster Alley</t>
  </si>
  <si>
    <t>27-681-5588</t>
  </si>
  <si>
    <t>89-959-2254</t>
  </si>
  <si>
    <t>498 Delladonna Drive</t>
  </si>
  <si>
    <t>23-265-8144</t>
  </si>
  <si>
    <t>31-524-1628</t>
  </si>
  <si>
    <t>14042 Dottie Avenue</t>
  </si>
  <si>
    <t>26-134-9069</t>
  </si>
  <si>
    <t>80-068-0825</t>
  </si>
  <si>
    <t>Devcast</t>
  </si>
  <si>
    <t>4929 Westend Point</t>
  </si>
  <si>
    <t>76-623-7844</t>
  </si>
  <si>
    <t>84-498-3849</t>
  </si>
  <si>
    <t>868 Swallow Point</t>
  </si>
  <si>
    <t>88-977-0175</t>
  </si>
  <si>
    <t>58-087-3463</t>
  </si>
  <si>
    <t>7561 5th Terrace</t>
  </si>
  <si>
    <t>12-714-5135</t>
  </si>
  <si>
    <t>97-055-2756</t>
  </si>
  <si>
    <t>2003 Delladonna Pass</t>
  </si>
  <si>
    <t>43-153-8268</t>
  </si>
  <si>
    <t>19-809-5654</t>
  </si>
  <si>
    <t>29815 Bonner Trail</t>
  </si>
  <si>
    <t>95-130-9020</t>
  </si>
  <si>
    <t>75-985-6744</t>
  </si>
  <si>
    <t>Youbridge</t>
  </si>
  <si>
    <t>2 Canary Street</t>
  </si>
  <si>
    <t>82-678-8097</t>
  </si>
  <si>
    <t>65-403-0311</t>
  </si>
  <si>
    <t>6172 Hovde Circle</t>
  </si>
  <si>
    <t>21-693-8216</t>
  </si>
  <si>
    <t>62-599-8388</t>
  </si>
  <si>
    <t>Twinte</t>
  </si>
  <si>
    <t>32468 Utah Pass</t>
  </si>
  <si>
    <t>56-831-6199</t>
  </si>
  <si>
    <t>99-680-2351</t>
  </si>
  <si>
    <t>1247 Hoard Hill</t>
  </si>
  <si>
    <t>81-268-5905</t>
  </si>
  <si>
    <t>36-138-9045</t>
  </si>
  <si>
    <t>Kazio</t>
  </si>
  <si>
    <t>85953 Clyde Gallagher Drive</t>
  </si>
  <si>
    <t>41-237-5498</t>
  </si>
  <si>
    <t>38-643-1626</t>
  </si>
  <si>
    <t>29817 Coleman Drive</t>
  </si>
  <si>
    <t>32-987-5559</t>
  </si>
  <si>
    <t>01-665-0053</t>
  </si>
  <si>
    <t>7 Hallows Alley</t>
  </si>
  <si>
    <t>71-436-5841</t>
  </si>
  <si>
    <t>87-546-9674</t>
  </si>
  <si>
    <t>52 Victoria Plaza</t>
  </si>
  <si>
    <t>63-890-1246</t>
  </si>
  <si>
    <t>29-273-1595</t>
  </si>
  <si>
    <t>3 Melrose Trail</t>
  </si>
  <si>
    <t>65-368-2479</t>
  </si>
  <si>
    <t>99-570-8162</t>
  </si>
  <si>
    <t>Browsedrive</t>
  </si>
  <si>
    <t>231 Merry Pass</t>
  </si>
  <si>
    <t>74-562-7431</t>
  </si>
  <si>
    <t>66-174-9633</t>
  </si>
  <si>
    <t>Linkbridge</t>
  </si>
  <si>
    <t>79 Ronald Regan Avenue</t>
  </si>
  <si>
    <t>51-583-6029</t>
  </si>
  <si>
    <t>78-024-3286</t>
  </si>
  <si>
    <t>83894 Delaware Plaza</t>
  </si>
  <si>
    <t>06-996-3221</t>
  </si>
  <si>
    <t>97-821-7402</t>
  </si>
  <si>
    <t>579 Schlimgen Alley</t>
  </si>
  <si>
    <t>96-334-2593</t>
  </si>
  <si>
    <t>64-831-3071</t>
  </si>
  <si>
    <t>9559 Muir Trail</t>
  </si>
  <si>
    <t>58-219-0241</t>
  </si>
  <si>
    <t>42-523-1857</t>
  </si>
  <si>
    <t>938 Garrison Court</t>
  </si>
  <si>
    <t>87-272-6544</t>
  </si>
  <si>
    <t>93-699-8001</t>
  </si>
  <si>
    <t>4 Nelson Alley</t>
  </si>
  <si>
    <t>95-357-2870</t>
  </si>
  <si>
    <t>75-365-7696</t>
  </si>
  <si>
    <t>87 Corben Street</t>
  </si>
  <si>
    <t>88-401-3700</t>
  </si>
  <si>
    <t>39-299-6093</t>
  </si>
  <si>
    <t>39014 Randy Court</t>
  </si>
  <si>
    <t>72-404-5581</t>
  </si>
  <si>
    <t>18-065-8014</t>
  </si>
  <si>
    <t>879 Amoth Terrace</t>
  </si>
  <si>
    <t>11-766-8738</t>
  </si>
  <si>
    <t>96-393-1428</t>
  </si>
  <si>
    <t>20 Nelson Way</t>
  </si>
  <si>
    <t>15-796-3130</t>
  </si>
  <si>
    <t>45-912-2948</t>
  </si>
  <si>
    <t>85 Lunder Court</t>
  </si>
  <si>
    <t>73-751-4393</t>
  </si>
  <si>
    <t>14-486-5626</t>
  </si>
  <si>
    <t>03 Roth Court</t>
  </si>
  <si>
    <t>62-100-2245</t>
  </si>
  <si>
    <t>18-110-8314</t>
  </si>
  <si>
    <t>56830 Fremont Road</t>
  </si>
  <si>
    <t>08-961-3009</t>
  </si>
  <si>
    <t>41-825-5869</t>
  </si>
  <si>
    <t>01 Gateway Plaza</t>
  </si>
  <si>
    <t>33-440-2588</t>
  </si>
  <si>
    <t>68-596-5506</t>
  </si>
  <si>
    <t>Tagpad</t>
  </si>
  <si>
    <t>4 6th Plaza</t>
  </si>
  <si>
    <t>24-009-1208</t>
  </si>
  <si>
    <t>96-405-4286</t>
  </si>
  <si>
    <t>Aivee</t>
  </si>
  <si>
    <t>99 Duke Lane</t>
  </si>
  <si>
    <t>71-300-2191</t>
  </si>
  <si>
    <t>98-677-4279</t>
  </si>
  <si>
    <t>7 Heffernan Drive</t>
  </si>
  <si>
    <t>74-430-8245</t>
  </si>
  <si>
    <t>51-213-5660</t>
  </si>
  <si>
    <t>7 Roxbury Circle</t>
  </si>
  <si>
    <t>68-636-4774</t>
  </si>
  <si>
    <t>40-436-0171</t>
  </si>
  <si>
    <t>7744 Oxford Pass</t>
  </si>
  <si>
    <t>38-655-2312</t>
  </si>
  <si>
    <t>91-127-7174</t>
  </si>
  <si>
    <t>17 Reinke Circle</t>
  </si>
  <si>
    <t>16-632-1308</t>
  </si>
  <si>
    <t>45-903-0036</t>
  </si>
  <si>
    <t>60094 Goodland Junction</t>
  </si>
  <si>
    <t>37-606-0510</t>
  </si>
  <si>
    <t>09-489-6314</t>
  </si>
  <si>
    <t>Jabbercube</t>
  </si>
  <si>
    <t>53 Homewood Alley</t>
  </si>
  <si>
    <t>36-296-9609</t>
  </si>
  <si>
    <t>46-041-1131</t>
  </si>
  <si>
    <t>7 Rutledge Pass</t>
  </si>
  <si>
    <t>22-329-7791</t>
  </si>
  <si>
    <t>72-013-2438</t>
  </si>
  <si>
    <t>50687 Porter Park</t>
  </si>
  <si>
    <t>56-894-3733</t>
  </si>
  <si>
    <t>57-133-8386</t>
  </si>
  <si>
    <t>897 Independence Circle</t>
  </si>
  <si>
    <t>06-858-5680</t>
  </si>
  <si>
    <t>63-231-2829</t>
  </si>
  <si>
    <t>49476 Tony Hill</t>
  </si>
  <si>
    <t>71-954-4501</t>
  </si>
  <si>
    <t>26-135-6134</t>
  </si>
  <si>
    <t>290 Rusk Avenue</t>
  </si>
  <si>
    <t>12-046-2988</t>
  </si>
  <si>
    <t>37-630-2250</t>
  </si>
  <si>
    <t>931 Browning Center</t>
  </si>
  <si>
    <t>95-356-1566</t>
  </si>
  <si>
    <t>57-204-2098</t>
  </si>
  <si>
    <t>622 Buena Vista Trail</t>
  </si>
  <si>
    <t>34-291-4939</t>
  </si>
  <si>
    <t>39-284-1614</t>
  </si>
  <si>
    <t>983 Sommers Circle</t>
  </si>
  <si>
    <t>35-621-2546</t>
  </si>
  <si>
    <t>14-190-2260</t>
  </si>
  <si>
    <t>Skiptube</t>
  </si>
  <si>
    <t>3 Fairfield Center</t>
  </si>
  <si>
    <t>21-013-3508</t>
  </si>
  <si>
    <t>64-489-8494</t>
  </si>
  <si>
    <t>84305 Fair Oaks Plaza</t>
  </si>
  <si>
    <t>38-049-9319</t>
  </si>
  <si>
    <t>90-447-5123</t>
  </si>
  <si>
    <t>6 Lillian Junction</t>
  </si>
  <si>
    <t>94-697-2396</t>
  </si>
  <si>
    <t>34-161-7429</t>
  </si>
  <si>
    <t>Zoomlounge</t>
  </si>
  <si>
    <t>44 Thompson Terrace</t>
  </si>
  <si>
    <t>33-807-7247</t>
  </si>
  <si>
    <t>94-453-3755</t>
  </si>
  <si>
    <t>63464 Jana Court</t>
  </si>
  <si>
    <t>62-816-8794</t>
  </si>
  <si>
    <t>56-110-5754</t>
  </si>
  <si>
    <t>04 Blaine Lane</t>
  </si>
  <si>
    <t>33-507-9886</t>
  </si>
  <si>
    <t>11-445-3951</t>
  </si>
  <si>
    <t>0584 Lindbergh Alley</t>
  </si>
  <si>
    <t>40-003-7322</t>
  </si>
  <si>
    <t>41-644-3129</t>
  </si>
  <si>
    <t>Wordtune</t>
  </si>
  <si>
    <t>2693 6th Court</t>
  </si>
  <si>
    <t>95-090-2788</t>
  </si>
  <si>
    <t>95-715-6047</t>
  </si>
  <si>
    <t>0313 Rockefeller Street</t>
  </si>
  <si>
    <t>06-503-5891</t>
  </si>
  <si>
    <t>19-098-2529</t>
  </si>
  <si>
    <t>49646 Derek Lane</t>
  </si>
  <si>
    <t>38-555-9147</t>
  </si>
  <si>
    <t>35-370-7603</t>
  </si>
  <si>
    <t>Aimbu</t>
  </si>
  <si>
    <t>0 Oneill Hill</t>
  </si>
  <si>
    <t>64-854-8664</t>
  </si>
  <si>
    <t>19-893-7698</t>
  </si>
  <si>
    <t>Pixoboo</t>
  </si>
  <si>
    <t>76 Independence Drive</t>
  </si>
  <si>
    <t>50-942-2409</t>
  </si>
  <si>
    <t>69-472-4067</t>
  </si>
  <si>
    <t>7182 Summit Court</t>
  </si>
  <si>
    <t>17-493-4579</t>
  </si>
  <si>
    <t>67-541-7091</t>
  </si>
  <si>
    <t>Trudoo</t>
  </si>
  <si>
    <t>4627 Amoth Circle</t>
  </si>
  <si>
    <t>10-854-5467</t>
  </si>
  <si>
    <t>40-443-3362</t>
  </si>
  <si>
    <t>3 Oakridge Parkway</t>
  </si>
  <si>
    <t>11-604-6002</t>
  </si>
  <si>
    <t>50-862-4552</t>
  </si>
  <si>
    <t>Kimia</t>
  </si>
  <si>
    <t>17640 Cottonwood Place</t>
  </si>
  <si>
    <t>44-305-1866</t>
  </si>
  <si>
    <t>25-190-3172</t>
  </si>
  <si>
    <t>51205 Rieder Junction</t>
  </si>
  <si>
    <t>49-730-0159</t>
  </si>
  <si>
    <t>62-766-8232</t>
  </si>
  <si>
    <t>Riffpedia</t>
  </si>
  <si>
    <t>09189 2nd Drive</t>
  </si>
  <si>
    <t>70-534-7796</t>
  </si>
  <si>
    <t>62-044-8874</t>
  </si>
  <si>
    <t>76106 Anthes Junction</t>
  </si>
  <si>
    <t>95-738-4658</t>
  </si>
  <si>
    <t>67-404-3362</t>
  </si>
  <si>
    <t>35 Golf Course Alley</t>
  </si>
  <si>
    <t>20-405-4865</t>
  </si>
  <si>
    <t>16-019-7101</t>
  </si>
  <si>
    <t>Centimia</t>
  </si>
  <si>
    <t>36483 Burning Wood Pass</t>
  </si>
  <si>
    <t>79-428-8753</t>
  </si>
  <si>
    <t>29-521-7910</t>
  </si>
  <si>
    <t>9 Holmberg Circle</t>
  </si>
  <si>
    <t>10-626-8536</t>
  </si>
  <si>
    <t>23-274-3305</t>
  </si>
  <si>
    <t>38583 2nd Pass</t>
  </si>
  <si>
    <t>27-216-9671</t>
  </si>
  <si>
    <t>40-773-7065</t>
  </si>
  <si>
    <t>4 Browning Terrace</t>
  </si>
  <si>
    <t>14-489-8669</t>
  </si>
  <si>
    <t>28-436-5158</t>
  </si>
  <si>
    <t>21629 Burrows Pass</t>
  </si>
  <si>
    <t>46-632-8420</t>
  </si>
  <si>
    <t>27-996-8883</t>
  </si>
  <si>
    <t>9 Meadow Ridge Center</t>
  </si>
  <si>
    <t>39-192-3521</t>
  </si>
  <si>
    <t>74-062-7176</t>
  </si>
  <si>
    <t>Dynazzy</t>
  </si>
  <si>
    <t>428 Oriole Avenue</t>
  </si>
  <si>
    <t>94-528-8088</t>
  </si>
  <si>
    <t>68-885-5553</t>
  </si>
  <si>
    <t>21379 Stoughton Junction</t>
  </si>
  <si>
    <t>74-305-1263</t>
  </si>
  <si>
    <t>83-076-5024</t>
  </si>
  <si>
    <t>744 Lakewood Gardens Crossing</t>
  </si>
  <si>
    <t>53-151-5726</t>
  </si>
  <si>
    <t>93-180-4005</t>
  </si>
  <si>
    <t>84239 Meadow Vale Trail</t>
  </si>
  <si>
    <t>02-085-7218</t>
  </si>
  <si>
    <t>41-978-3326</t>
  </si>
  <si>
    <t>Oyonder</t>
  </si>
  <si>
    <t>2835 Schlimgen Parkway</t>
  </si>
  <si>
    <t>77-777-4536</t>
  </si>
  <si>
    <t>64-396-5538</t>
  </si>
  <si>
    <t>4784 Farmco Alley</t>
  </si>
  <si>
    <t>86-482-6451</t>
  </si>
  <si>
    <t>56-965-0404</t>
  </si>
  <si>
    <t>5501 Fuller Way</t>
  </si>
  <si>
    <t>36-127-4273</t>
  </si>
  <si>
    <t>05-719-6858</t>
  </si>
  <si>
    <t>10342 Division Place</t>
  </si>
  <si>
    <t>03-061-1344</t>
  </si>
  <si>
    <t>85-211-5357</t>
  </si>
  <si>
    <t>96420 Briar Crest Lane</t>
  </si>
  <si>
    <t>97-300-7511</t>
  </si>
  <si>
    <t>47-687-2255</t>
  </si>
  <si>
    <t>45190 Fordem Court</t>
  </si>
  <si>
    <t>83-108-1174</t>
  </si>
  <si>
    <t>56-439-3559</t>
  </si>
  <si>
    <t>3 Monument Street</t>
  </si>
  <si>
    <t>38-664-2155</t>
  </si>
  <si>
    <t>10-540-5841</t>
  </si>
  <si>
    <t>843 Pepper Wood Hill</t>
  </si>
  <si>
    <t>80-459-5950</t>
  </si>
  <si>
    <t>04-866-2231</t>
  </si>
  <si>
    <t>Rhyzio</t>
  </si>
  <si>
    <t>5 Killdeer Trail</t>
  </si>
  <si>
    <t>93-015-0811</t>
  </si>
  <si>
    <t>07-055-5188</t>
  </si>
  <si>
    <t>1 Pleasure Hill</t>
  </si>
  <si>
    <t>02-888-9412</t>
  </si>
  <si>
    <t>22-307-4653</t>
  </si>
  <si>
    <t>880 Calypso Road</t>
  </si>
  <si>
    <t>10-218-2680</t>
  </si>
  <si>
    <t>72-024-1595</t>
  </si>
  <si>
    <t>6810 Aberg Junction</t>
  </si>
  <si>
    <t>30-964-2694</t>
  </si>
  <si>
    <t>42-976-2737</t>
  </si>
  <si>
    <t>Edgeclub</t>
  </si>
  <si>
    <t>39 Dovetail Terrace</t>
  </si>
  <si>
    <t>15-144-9413</t>
  </si>
  <si>
    <t>08-912-0895</t>
  </si>
  <si>
    <t>3 Buhler Place</t>
  </si>
  <si>
    <t>17-253-5688</t>
  </si>
  <si>
    <t>42-638-2086</t>
  </si>
  <si>
    <t>7 Hooker Way</t>
  </si>
  <si>
    <t>31-608-1445</t>
  </si>
  <si>
    <t>75-286-4153</t>
  </si>
  <si>
    <t>227 Tennyson Plaza</t>
  </si>
  <si>
    <t>51-934-9117</t>
  </si>
  <si>
    <t>34-389-9922</t>
  </si>
  <si>
    <t>05944 Scott Parkway</t>
  </si>
  <si>
    <t>72-810-9753</t>
  </si>
  <si>
    <t>17-359-2527</t>
  </si>
  <si>
    <t>545 Farwell Lane</t>
  </si>
  <si>
    <t>53-146-9979</t>
  </si>
  <si>
    <t>44-388-2451</t>
  </si>
  <si>
    <t>42 Mandrake Alley</t>
  </si>
  <si>
    <t>46-622-3434</t>
  </si>
  <si>
    <t>85-473-1534</t>
  </si>
  <si>
    <t>Topdrive</t>
  </si>
  <si>
    <t>2 Miller Lane</t>
  </si>
  <si>
    <t>47-843-8207</t>
  </si>
  <si>
    <t>55-838-9088</t>
  </si>
  <si>
    <t>01 Northfield Road</t>
  </si>
  <si>
    <t>29-135-0791</t>
  </si>
  <si>
    <t>05-050-4384</t>
  </si>
  <si>
    <t>97 Utah Lane</t>
  </si>
  <si>
    <t>45-194-4094</t>
  </si>
  <si>
    <t>65-611-4749</t>
  </si>
  <si>
    <t>2 Scofield Street</t>
  </si>
  <si>
    <t>09-712-3630</t>
  </si>
  <si>
    <t>17-807-6972</t>
  </si>
  <si>
    <t>10 Golf Course Hill</t>
  </si>
  <si>
    <t>56-213-0577</t>
  </si>
  <si>
    <t>72-306-8602</t>
  </si>
  <si>
    <t>851 Hollow Ridge Center</t>
  </si>
  <si>
    <t>78-956-4737</t>
  </si>
  <si>
    <t>76-712-0418</t>
  </si>
  <si>
    <t>9 Burrows Junction</t>
  </si>
  <si>
    <t>29-436-6570</t>
  </si>
  <si>
    <t>12-140-7809</t>
  </si>
  <si>
    <t>30590 Bowman Alley</t>
  </si>
  <si>
    <t>04-038-1547</t>
  </si>
  <si>
    <t>61-912-9541</t>
  </si>
  <si>
    <t>76 Shelley Pass</t>
  </si>
  <si>
    <t>76-476-9996</t>
  </si>
  <si>
    <t>88-428-6227</t>
  </si>
  <si>
    <t>0 Larry Terrace</t>
  </si>
  <si>
    <t>43-469-7551</t>
  </si>
  <si>
    <t>64-361-4238</t>
  </si>
  <si>
    <t>760 Butternut Plaza</t>
  </si>
  <si>
    <t>15-169-8058</t>
  </si>
  <si>
    <t>14-009-8505</t>
  </si>
  <si>
    <t>26160 Independence Alley</t>
  </si>
  <si>
    <t>37-567-3218</t>
  </si>
  <si>
    <t>03-257-4437</t>
  </si>
  <si>
    <t>153 Caliangt Plaza</t>
  </si>
  <si>
    <t>92-455-2959</t>
  </si>
  <si>
    <t>13-109-8639</t>
  </si>
  <si>
    <t>0 Ohio Hill</t>
  </si>
  <si>
    <t>75-672-4378</t>
  </si>
  <si>
    <t>20-103-9525</t>
  </si>
  <si>
    <t>Eare</t>
  </si>
  <si>
    <t>4 Esch Point</t>
  </si>
  <si>
    <t>66-806-6051</t>
  </si>
  <si>
    <t>19-875-5642</t>
  </si>
  <si>
    <t>8 Kensington Place</t>
  </si>
  <si>
    <t>65-527-9488</t>
  </si>
  <si>
    <t>23-482-0516</t>
  </si>
  <si>
    <t>23704 Algoma Park</t>
  </si>
  <si>
    <t>36-840-2728</t>
  </si>
  <si>
    <t>26-454-7297</t>
  </si>
  <si>
    <t>Dabfeed</t>
  </si>
  <si>
    <t>08545 Lillian Street</t>
  </si>
  <si>
    <t>07-389-5740</t>
  </si>
  <si>
    <t>72-784-3292</t>
  </si>
  <si>
    <t>59 Veith Center</t>
  </si>
  <si>
    <t>13-144-2169</t>
  </si>
  <si>
    <t>11-742-5033</t>
  </si>
  <si>
    <t>Blogpad</t>
  </si>
  <si>
    <t>52 Namekagon Junction</t>
  </si>
  <si>
    <t>13-798-3397</t>
  </si>
  <si>
    <t>89-992-6472</t>
  </si>
  <si>
    <t>Twimm</t>
  </si>
  <si>
    <t>93321 Kennedy Point</t>
  </si>
  <si>
    <t>85-806-0613</t>
  </si>
  <si>
    <t>06-286-2758</t>
  </si>
  <si>
    <t>9269 Main Trail</t>
  </si>
  <si>
    <t>67-248-6306</t>
  </si>
  <si>
    <t>86-173-6891</t>
  </si>
  <si>
    <t>Avamm</t>
  </si>
  <si>
    <t>05 Bartelt Street</t>
  </si>
  <si>
    <t>47-866-6589</t>
  </si>
  <si>
    <t>78-203-1075</t>
  </si>
  <si>
    <t>30880 Barnett Junction</t>
  </si>
  <si>
    <t>91-127-7489</t>
  </si>
  <si>
    <t>86-079-1525</t>
  </si>
  <si>
    <t>43211 Anzinger Drive</t>
  </si>
  <si>
    <t>90-343-9640</t>
  </si>
  <si>
    <t>54-919-9424</t>
  </si>
  <si>
    <t>3622 Anhalt Lane</t>
  </si>
  <si>
    <t>01-018-6418</t>
  </si>
  <si>
    <t>78-888-6073</t>
  </si>
  <si>
    <t>481 Mifflin Hill</t>
  </si>
  <si>
    <t>80-375-9075</t>
  </si>
  <si>
    <t>86-487-3354</t>
  </si>
  <si>
    <t>3831 Goodland Road</t>
  </si>
  <si>
    <t>80-227-6886</t>
  </si>
  <si>
    <t>91-632-7343</t>
  </si>
  <si>
    <t>4374 Corry Terrace</t>
  </si>
  <si>
    <t>15-562-3712</t>
  </si>
  <si>
    <t>53-243-7800</t>
  </si>
  <si>
    <t>1 Hudson Hill</t>
  </si>
  <si>
    <t>10-137-9759</t>
  </si>
  <si>
    <t>23-688-6256</t>
  </si>
  <si>
    <t>Trupe</t>
  </si>
  <si>
    <t>402 Kings Road</t>
  </si>
  <si>
    <t>69-171-1305</t>
  </si>
  <si>
    <t>33-733-7313</t>
  </si>
  <si>
    <t>9951 Petterle Alley</t>
  </si>
  <si>
    <t>83-117-7658</t>
  </si>
  <si>
    <t>61-424-7670</t>
  </si>
  <si>
    <t>Yabox</t>
  </si>
  <si>
    <t>0282 Emmet Hill</t>
  </si>
  <si>
    <t>74-642-2435</t>
  </si>
  <si>
    <t>52-012-3409</t>
  </si>
  <si>
    <t>6292 Chive Street</t>
  </si>
  <si>
    <t>10-445-0741</t>
  </si>
  <si>
    <t>82-470-7146</t>
  </si>
  <si>
    <t>31 Loomis Park</t>
  </si>
  <si>
    <t>80-658-6456</t>
  </si>
  <si>
    <t>42-080-6579</t>
  </si>
  <si>
    <t>44051 Old Shore Junction</t>
  </si>
  <si>
    <t>81-354-4203</t>
  </si>
  <si>
    <t>15-466-5131</t>
  </si>
  <si>
    <t>12 Luster Terrace</t>
  </si>
  <si>
    <t>08-573-9997</t>
  </si>
  <si>
    <t>95-734-4024</t>
  </si>
  <si>
    <t>03 Little Fleur Pass</t>
  </si>
  <si>
    <t>74-610-2295</t>
  </si>
  <si>
    <t>22-959-6357</t>
  </si>
  <si>
    <t>Lajo</t>
  </si>
  <si>
    <t>87 Bluestem Parkway</t>
  </si>
  <si>
    <t>76-070-1411</t>
  </si>
  <si>
    <t>63-528-0643</t>
  </si>
  <si>
    <t>87578 Stoughton Parkway</t>
  </si>
  <si>
    <t>61-582-7399</t>
  </si>
  <si>
    <t>15-062-6342</t>
  </si>
  <si>
    <t>Topiczoom</t>
  </si>
  <si>
    <t>8 Hanover Center</t>
  </si>
  <si>
    <t>42-674-3917</t>
  </si>
  <si>
    <t>26-080-4944</t>
  </si>
  <si>
    <t>78 Forest Dale Road</t>
  </si>
  <si>
    <t>05-899-1428</t>
  </si>
  <si>
    <t>17-494-5505</t>
  </si>
  <si>
    <t>591 Maple Junction</t>
  </si>
  <si>
    <t>74-548-9313</t>
  </si>
  <si>
    <t>69-832-7009</t>
  </si>
  <si>
    <t>1 Judy Street</t>
  </si>
  <si>
    <t>20-448-2972</t>
  </si>
  <si>
    <t>26-920-6626</t>
  </si>
  <si>
    <t>Buzzbean</t>
  </si>
  <si>
    <t>49770 Hoffman Court</t>
  </si>
  <si>
    <t>63-162-9244</t>
  </si>
  <si>
    <t>58-945-2944</t>
  </si>
  <si>
    <t>04 Rockefeller Terrace</t>
  </si>
  <si>
    <t>91-417-0366</t>
  </si>
  <si>
    <t>28-442-2578</t>
  </si>
  <si>
    <t>1 Elmside Parkway</t>
  </si>
  <si>
    <t>60-311-5701</t>
  </si>
  <si>
    <t>07-578-7055</t>
  </si>
  <si>
    <t>9 Meadow Vale Drive</t>
  </si>
  <si>
    <t>36-899-5324</t>
  </si>
  <si>
    <t>02-656-3112</t>
  </si>
  <si>
    <t>Flashdog</t>
  </si>
  <si>
    <t>3 Bashford Court</t>
  </si>
  <si>
    <t>22-266-9291</t>
  </si>
  <si>
    <t>15-550-0171</t>
  </si>
  <si>
    <t>111 David Hill</t>
  </si>
  <si>
    <t>76-584-4790</t>
  </si>
  <si>
    <t>58-213-1146</t>
  </si>
  <si>
    <t>1170 Shasta Circle</t>
  </si>
  <si>
    <t>82-948-2298</t>
  </si>
  <si>
    <t>53-749-6148</t>
  </si>
  <si>
    <t>555 Butternut Hill</t>
  </si>
  <si>
    <t>97-283-4840</t>
  </si>
  <si>
    <t>64-604-1679</t>
  </si>
  <si>
    <t>7232 Ridgeway Center</t>
  </si>
  <si>
    <t>17-395-1121</t>
  </si>
  <si>
    <t>67-252-3923</t>
  </si>
  <si>
    <t>8 Oriole Terrace</t>
  </si>
  <si>
    <t>74-132-5528</t>
  </si>
  <si>
    <t>41-713-1053</t>
  </si>
  <si>
    <t>611 Fieldstone Drive</t>
  </si>
  <si>
    <t>52-029-2382</t>
  </si>
  <si>
    <t>16-474-4516</t>
  </si>
  <si>
    <t>Brightdog</t>
  </si>
  <si>
    <t>08896 Evergreen Avenue</t>
  </si>
  <si>
    <t>11-053-0107</t>
  </si>
  <si>
    <t>Cherry</t>
  </si>
  <si>
    <t>07-410-2867</t>
  </si>
  <si>
    <t>734 Thackeray Avenue</t>
  </si>
  <si>
    <t>99-194-5600</t>
  </si>
  <si>
    <t>70-064-6828</t>
  </si>
  <si>
    <t>973 Spaight Place</t>
  </si>
  <si>
    <t>48-289-0604</t>
  </si>
  <si>
    <t>94-261-1193</t>
  </si>
  <si>
    <t>5 Colorado Park</t>
  </si>
  <si>
    <t>73-010-8323</t>
  </si>
  <si>
    <t>80-622-6587</t>
  </si>
  <si>
    <t>Tagcat</t>
  </si>
  <si>
    <t>811 Dapin Center</t>
  </si>
  <si>
    <t>06-068-6793</t>
  </si>
  <si>
    <t>94-958-6101</t>
  </si>
  <si>
    <t>25 Nancy Place</t>
  </si>
  <si>
    <t>56-054-8664</t>
  </si>
  <si>
    <t>53-247-1844</t>
  </si>
  <si>
    <t>01 Straubel Hill</t>
  </si>
  <si>
    <t>36-330-5036</t>
  </si>
  <si>
    <t>52-359-1255</t>
  </si>
  <si>
    <t>Mycat</t>
  </si>
  <si>
    <t>21 Golden Leaf Hill</t>
  </si>
  <si>
    <t>65-674-6076</t>
  </si>
  <si>
    <t>16-933-3355</t>
  </si>
  <si>
    <t>9738 Old Shore Trail</t>
  </si>
  <si>
    <t>87-013-6488</t>
  </si>
  <si>
    <t>77-471-0792</t>
  </si>
  <si>
    <t>Tekfly</t>
  </si>
  <si>
    <t>07855 Goodland Lane</t>
  </si>
  <si>
    <t>95-449-1286</t>
  </si>
  <si>
    <t>Egg (Chicken)</t>
  </si>
  <si>
    <t>18-260-7354</t>
  </si>
  <si>
    <t>Realfire</t>
  </si>
  <si>
    <t>1 Jackson Pass</t>
  </si>
  <si>
    <t>95-640-0293</t>
  </si>
  <si>
    <t>43-575-2151</t>
  </si>
  <si>
    <t>31 Sullivan Hill</t>
  </si>
  <si>
    <t>08-495-6853</t>
  </si>
  <si>
    <t>07-432-0137</t>
  </si>
  <si>
    <t>7943 Amoth Parkway</t>
  </si>
  <si>
    <t>42-495-7698</t>
  </si>
  <si>
    <t>93-625-4768</t>
  </si>
  <si>
    <t>91 Gateway Pass</t>
  </si>
  <si>
    <t>83-727-0814</t>
  </si>
  <si>
    <t>79-656-1990</t>
  </si>
  <si>
    <t>28 Boyd Pass</t>
  </si>
  <si>
    <t>01-050-2246</t>
  </si>
  <si>
    <t>80-462-5807</t>
  </si>
  <si>
    <t>38 Esch Pass</t>
  </si>
  <si>
    <t>07-858-5487</t>
  </si>
  <si>
    <t>92-991-6167</t>
  </si>
  <si>
    <t>6 Susan Alley</t>
  </si>
  <si>
    <t>20-283-0111</t>
  </si>
  <si>
    <t>60-394-8955</t>
  </si>
  <si>
    <t>Cogidoo</t>
  </si>
  <si>
    <t>0 Ruskin Way</t>
  </si>
  <si>
    <t>87-391-9658</t>
  </si>
  <si>
    <t>51-054-1226</t>
  </si>
  <si>
    <t>92486 Laurel Alley</t>
  </si>
  <si>
    <t>44-782-1395</t>
  </si>
  <si>
    <t>54-132-9762</t>
  </si>
  <si>
    <t>365 Vera Terrace</t>
  </si>
  <si>
    <t>12-828-1063</t>
  </si>
  <si>
    <t>48-707-5857</t>
  </si>
  <si>
    <t>018 Oxford Crossing</t>
  </si>
  <si>
    <t>72-989-2512</t>
  </si>
  <si>
    <t>03-117-6217</t>
  </si>
  <si>
    <t>Yakijo</t>
  </si>
  <si>
    <t>61 Waubesa Court</t>
  </si>
  <si>
    <t>53-667-4109</t>
  </si>
  <si>
    <t>40-800-4739</t>
  </si>
  <si>
    <t>992 East Point</t>
  </si>
  <si>
    <t>93-772-3085</t>
  </si>
  <si>
    <t>61-807-0746</t>
  </si>
  <si>
    <t>Edgetag</t>
  </si>
  <si>
    <t>07359 Porter Park</t>
  </si>
  <si>
    <t>92-652-3737</t>
  </si>
  <si>
    <t>42-361-6981</t>
  </si>
  <si>
    <t>Quimm</t>
  </si>
  <si>
    <t>66330 Northridge Street</t>
  </si>
  <si>
    <t>74-404-0582</t>
  </si>
  <si>
    <t>31-628-6696</t>
  </si>
  <si>
    <t>07 Maple Wood Drive</t>
  </si>
  <si>
    <t>19-244-9890</t>
  </si>
  <si>
    <t>98-107-0604</t>
  </si>
  <si>
    <t>Wikido</t>
  </si>
  <si>
    <t>620 Mockingbird Pass</t>
  </si>
  <si>
    <t>01-839-6534</t>
  </si>
  <si>
    <t>51-519-4588</t>
  </si>
  <si>
    <t>8 Hazelcrest Street</t>
  </si>
  <si>
    <t>58-229-1358</t>
  </si>
  <si>
    <t>66-883-2383</t>
  </si>
  <si>
    <t>1 Lillian Plaza</t>
  </si>
  <si>
    <t>80-025-6757</t>
  </si>
  <si>
    <t>49-608-3851</t>
  </si>
  <si>
    <t>Thoughtmix</t>
  </si>
  <si>
    <t>183 Algoma Trail</t>
  </si>
  <si>
    <t>35-031-1497</t>
  </si>
  <si>
    <t>84-835-1656</t>
  </si>
  <si>
    <t>581 Oneill Crossing</t>
  </si>
  <si>
    <t>26-629-5920</t>
  </si>
  <si>
    <t>19-264-7608</t>
  </si>
  <si>
    <t>77563 Russell Lane</t>
  </si>
  <si>
    <t>51-000-8113</t>
  </si>
  <si>
    <t>56-825-0880</t>
  </si>
  <si>
    <t>51369 Dawn Hill</t>
  </si>
  <si>
    <t>93-571-7294</t>
  </si>
  <si>
    <t>77-842-0920</t>
  </si>
  <si>
    <t>76 Fisk Park</t>
  </si>
  <si>
    <t>48-770-6319</t>
  </si>
  <si>
    <t>64-452-2395</t>
  </si>
  <si>
    <t>34 Fremont Point</t>
  </si>
  <si>
    <t>74-818-3306</t>
  </si>
  <si>
    <t>75-536-2986</t>
  </si>
  <si>
    <t>Eabox</t>
  </si>
  <si>
    <t>62 Thackeray Center</t>
  </si>
  <si>
    <t>15-082-9124</t>
  </si>
  <si>
    <t>02-997-1489</t>
  </si>
  <si>
    <t>LiveZ</t>
  </si>
  <si>
    <t>38 Dawn Street</t>
  </si>
  <si>
    <t>66-854-5736</t>
  </si>
  <si>
    <t>98-591-1051</t>
  </si>
  <si>
    <t>50880 Nobel Road</t>
  </si>
  <si>
    <t>90-128-7973</t>
  </si>
  <si>
    <t>91-417-6283</t>
  </si>
  <si>
    <t>46989 Crescent Oaks Junction</t>
  </si>
  <si>
    <t>60-198-7050</t>
  </si>
  <si>
    <t>27-493-6787</t>
  </si>
  <si>
    <t>5306 Arkansas Avenue</t>
  </si>
  <si>
    <t>70-206-4860</t>
  </si>
  <si>
    <t>82-527-9395</t>
  </si>
  <si>
    <t>Meejo</t>
  </si>
  <si>
    <t>75 High Crossing Junction</t>
  </si>
  <si>
    <t>25-353-2067</t>
  </si>
  <si>
    <t>01-210-3485</t>
  </si>
  <si>
    <t>59449 Sherman Parkway</t>
  </si>
  <si>
    <t>93-218-8108</t>
  </si>
  <si>
    <t>05-966-6460</t>
  </si>
  <si>
    <t>9848 Little Fleur Point</t>
  </si>
  <si>
    <t>95-262-6208</t>
  </si>
  <si>
    <t>66-227-1125</t>
  </si>
  <si>
    <t>44662 American Plaza</t>
  </si>
  <si>
    <t>02-484-0206</t>
  </si>
  <si>
    <t>62-011-9357</t>
  </si>
  <si>
    <t>60 Main Pass</t>
  </si>
  <si>
    <t>08-226-5155</t>
  </si>
  <si>
    <t>64-584-7898</t>
  </si>
  <si>
    <t>81503 Graedel Plaza</t>
  </si>
  <si>
    <t>47-581-0363</t>
  </si>
  <si>
    <t>08-359-2568</t>
  </si>
  <si>
    <t>8 Dawn Court</t>
  </si>
  <si>
    <t>04-104-6993</t>
  </si>
  <si>
    <t>06-776-1072</t>
  </si>
  <si>
    <t>55095 Northview Drive</t>
  </si>
  <si>
    <t>45-380-4627</t>
  </si>
  <si>
    <t>20-201-5639</t>
  </si>
  <si>
    <t>0 Thackeray Point</t>
  </si>
  <si>
    <t>41-240-8856</t>
  </si>
  <si>
    <t>28-162-7486</t>
  </si>
  <si>
    <t>8 Autumn Leaf Drive</t>
  </si>
  <si>
    <t>81-573-0943</t>
  </si>
  <si>
    <t>07-754-2313</t>
  </si>
  <si>
    <t>20 Marcy Circle</t>
  </si>
  <si>
    <t>67-725-6830</t>
  </si>
  <si>
    <t>05-727-0033</t>
  </si>
  <si>
    <t>9 Victoria Point</t>
  </si>
  <si>
    <t>55-154-4728</t>
  </si>
  <si>
    <t>33-466-7894</t>
  </si>
  <si>
    <t>96 Westridge Junction</t>
  </si>
  <si>
    <t>41-526-4036</t>
  </si>
  <si>
    <t>45-923-7206</t>
  </si>
  <si>
    <t>38726 Gina Pass</t>
  </si>
  <si>
    <t>86-273-9377</t>
  </si>
  <si>
    <t>38-330-5543</t>
  </si>
  <si>
    <t>1 Hollow Ridge Park</t>
  </si>
  <si>
    <t>98-499-2220</t>
  </si>
  <si>
    <t>69-666-2257</t>
  </si>
  <si>
    <t>27 School Court</t>
  </si>
  <si>
    <t>50-930-4751</t>
  </si>
  <si>
    <t>40-260-8547</t>
  </si>
  <si>
    <t>80380 Valley Edge Road</t>
  </si>
  <si>
    <t>88-304-2855</t>
  </si>
  <si>
    <t>59-570-2020</t>
  </si>
  <si>
    <t>0 Delladonna Place</t>
  </si>
  <si>
    <t>69-743-0161</t>
  </si>
  <si>
    <t>29-774-6779</t>
  </si>
  <si>
    <t>583 Loftsgordon Road</t>
  </si>
  <si>
    <t>40-902-1995</t>
  </si>
  <si>
    <t>86-879-7811</t>
  </si>
  <si>
    <t>Zoomzone</t>
  </si>
  <si>
    <t>1519 Delaware Court</t>
  </si>
  <si>
    <t>50-329-3360</t>
  </si>
  <si>
    <t>85-594-2570</t>
  </si>
  <si>
    <t>72 Crownhardt Circle</t>
  </si>
  <si>
    <t>03-441-4252</t>
  </si>
  <si>
    <t>11-430-6041</t>
  </si>
  <si>
    <t>6 Bobwhite Alley</t>
  </si>
  <si>
    <t>97-093-4278</t>
  </si>
  <si>
    <t>38-200-4863</t>
  </si>
  <si>
    <t>Twitterlist</t>
  </si>
  <si>
    <t>467 Dexter Pass</t>
  </si>
  <si>
    <t>01-820-5784</t>
  </si>
  <si>
    <t>80-567-5598</t>
  </si>
  <si>
    <t>6982 Crownhardt Circle</t>
  </si>
  <si>
    <t>31-803-5001</t>
  </si>
  <si>
    <t>14-414-1945</t>
  </si>
  <si>
    <t>Voonder</t>
  </si>
  <si>
    <t>64 1st Plaza</t>
  </si>
  <si>
    <t>61-317-9944</t>
  </si>
  <si>
    <t>03-220-5535</t>
  </si>
  <si>
    <t>21844 Artisan Trail</t>
  </si>
  <si>
    <t>56-303-5256</t>
  </si>
  <si>
    <t>29-821-5359</t>
  </si>
  <si>
    <t>3 Hermina Circle</t>
  </si>
  <si>
    <t>86-672-4191</t>
  </si>
  <si>
    <t>79-219-8469</t>
  </si>
  <si>
    <t>Einti</t>
  </si>
  <si>
    <t>18 Troy Avenue</t>
  </si>
  <si>
    <t>34-547-0827</t>
  </si>
  <si>
    <t>30-853-8580</t>
  </si>
  <si>
    <t>18 Comanche Junction</t>
  </si>
  <si>
    <t>20-387-7746</t>
  </si>
  <si>
    <t>08-218-9429</t>
  </si>
  <si>
    <t>9050 Dorton Pass</t>
  </si>
  <si>
    <t>50-329-3145</t>
  </si>
  <si>
    <t>88-418-3855</t>
  </si>
  <si>
    <t>591 Maple Wood Drive</t>
  </si>
  <si>
    <t>02-559-8196</t>
  </si>
  <si>
    <t>44-495-6660</t>
  </si>
  <si>
    <t>545 Linden Alley</t>
  </si>
  <si>
    <t>69-834-2874</t>
  </si>
  <si>
    <t>51-600-6076</t>
  </si>
  <si>
    <t>39 Oxford Drive</t>
  </si>
  <si>
    <t>27-474-0056</t>
  </si>
  <si>
    <t>56-969-3705</t>
  </si>
  <si>
    <t>538 Bayside Parkway</t>
  </si>
  <si>
    <t>66-378-7532</t>
  </si>
  <si>
    <t>15-365-5585</t>
  </si>
  <si>
    <t>88678 Bayside Park</t>
  </si>
  <si>
    <t>28-185-7303</t>
  </si>
  <si>
    <t>97-143-0641</t>
  </si>
  <si>
    <t>25696 Westerfield Alley</t>
  </si>
  <si>
    <t>19-854-3663</t>
  </si>
  <si>
    <t>72-509-7548</t>
  </si>
  <si>
    <t>4 Dakota Avenue</t>
  </si>
  <si>
    <t>42-175-1648</t>
  </si>
  <si>
    <t>67-272-8844</t>
  </si>
  <si>
    <t>72778 Loftsgordon Center</t>
  </si>
  <si>
    <t>56-657-4387</t>
  </si>
  <si>
    <t>78-629-7560</t>
  </si>
  <si>
    <t>5 Lyons Street</t>
  </si>
  <si>
    <t>05-720-8792</t>
  </si>
  <si>
    <t>33-265-4588</t>
  </si>
  <si>
    <t>2 Northview Avenue</t>
  </si>
  <si>
    <t>84-151-2114</t>
  </si>
  <si>
    <t>79-704-1471</t>
  </si>
  <si>
    <t>12 Rigney Street</t>
  </si>
  <si>
    <t>10-378-9729</t>
  </si>
  <si>
    <t>83-941-9620</t>
  </si>
  <si>
    <t>2 Butterfield Pass</t>
  </si>
  <si>
    <t>53-930-2215</t>
  </si>
  <si>
    <t>42-210-6541</t>
  </si>
  <si>
    <t>Gabvine</t>
  </si>
  <si>
    <t>292 Utah Street</t>
  </si>
  <si>
    <t>02-034-6209</t>
  </si>
  <si>
    <t>34-724-1913</t>
  </si>
  <si>
    <t>Yodel</t>
  </si>
  <si>
    <t>96 Brown Drive</t>
  </si>
  <si>
    <t>28-003-8065</t>
  </si>
  <si>
    <t>42-579-7177</t>
  </si>
  <si>
    <t>Voonte</t>
  </si>
  <si>
    <t>65 Merry Circle</t>
  </si>
  <si>
    <t>19-021-5024</t>
  </si>
  <si>
    <t>75-369-5047</t>
  </si>
  <si>
    <t>4 Heffernan Lane</t>
  </si>
  <si>
    <t>07-846-4804</t>
  </si>
  <si>
    <t>30-605-2164</t>
  </si>
  <si>
    <t>2 Fair Oaks Pass</t>
  </si>
  <si>
    <t>70-542-4269</t>
  </si>
  <si>
    <t>27-772-7906</t>
  </si>
  <si>
    <t>7 Victoria Hill</t>
  </si>
  <si>
    <t>52-797-6961</t>
  </si>
  <si>
    <t>75-793-8978</t>
  </si>
  <si>
    <t>13799 Quincy Park</t>
  </si>
  <si>
    <t>66-327-2821</t>
  </si>
  <si>
    <t>82-525-7224</t>
  </si>
  <si>
    <t>703 Hermina Center</t>
  </si>
  <si>
    <t>12-093-9863</t>
  </si>
  <si>
    <t>21-416-3796</t>
  </si>
  <si>
    <t>Feednation</t>
  </si>
  <si>
    <t>6748 Mitchell Road</t>
  </si>
  <si>
    <t>08-396-2704</t>
  </si>
  <si>
    <t>94-186-9620</t>
  </si>
  <si>
    <t>160 Crowley Center</t>
  </si>
  <si>
    <t>72-970-0239</t>
  </si>
  <si>
    <t>64-752-3122</t>
  </si>
  <si>
    <t>Divanoodle</t>
  </si>
  <si>
    <t>73966 Pond Trail</t>
  </si>
  <si>
    <t>03-940-0630</t>
  </si>
  <si>
    <t>49-762-8263</t>
  </si>
  <si>
    <t>27408 Burning Wood Street</t>
  </si>
  <si>
    <t>67-130-4114</t>
  </si>
  <si>
    <t>53-718-1768</t>
  </si>
  <si>
    <t>9327 Hanover Way</t>
  </si>
  <si>
    <t>32-270-1385</t>
  </si>
  <si>
    <t>81-072-8266</t>
  </si>
  <si>
    <t>Quaxo</t>
  </si>
  <si>
    <t>0500 Calypso Pass</t>
  </si>
  <si>
    <t>85-510-2915</t>
  </si>
  <si>
    <t>55-134-2668</t>
  </si>
  <si>
    <t>8 Merrick Lane</t>
  </si>
  <si>
    <t>00-842-9790</t>
  </si>
  <si>
    <t>37-079-2530</t>
  </si>
  <si>
    <t>53894 Myrtle Place</t>
  </si>
  <si>
    <t>49-377-9731</t>
  </si>
  <si>
    <t>56-823-5908</t>
  </si>
  <si>
    <t>Livefish</t>
  </si>
  <si>
    <t>3 Meadow Valley Court</t>
  </si>
  <si>
    <t>96-682-8546</t>
  </si>
  <si>
    <t>03-882-3517</t>
  </si>
  <si>
    <t>Kaymbo</t>
  </si>
  <si>
    <t>97 Walton Avenue</t>
  </si>
  <si>
    <t>92-837-8839</t>
  </si>
  <si>
    <t>95-484-3134</t>
  </si>
  <si>
    <t>95 Lerdahl Park</t>
  </si>
  <si>
    <t>68-732-5919</t>
  </si>
  <si>
    <t>07-500-2023</t>
  </si>
  <si>
    <t>56 Bonner Point</t>
  </si>
  <si>
    <t>37-064-7275</t>
  </si>
  <si>
    <t>63-522-2633</t>
  </si>
  <si>
    <t>149 Lawn Way</t>
  </si>
  <si>
    <t>43-193-9915</t>
  </si>
  <si>
    <t>23-931-2988</t>
  </si>
  <si>
    <t>Roodel</t>
  </si>
  <si>
    <t>61 Transport Parkway</t>
  </si>
  <si>
    <t>45-992-5653</t>
  </si>
  <si>
    <t>22-050-5775</t>
  </si>
  <si>
    <t>Jaxworks</t>
  </si>
  <si>
    <t>5 Fisk Point</t>
  </si>
  <si>
    <t>45-852-2446</t>
  </si>
  <si>
    <t>37-567-5710</t>
  </si>
  <si>
    <t>Fanoodle</t>
  </si>
  <si>
    <t>56 Petterle Circle</t>
  </si>
  <si>
    <t>57-394-4703</t>
  </si>
  <si>
    <t>52-130-3457</t>
  </si>
  <si>
    <t>Agivu</t>
  </si>
  <si>
    <t>38 Banding Lane</t>
  </si>
  <si>
    <t>07-679-1199</t>
  </si>
  <si>
    <t>75-406-6250</t>
  </si>
  <si>
    <t>1991 Kropf Way</t>
  </si>
  <si>
    <t>47-221-3391</t>
  </si>
  <si>
    <t>21-450-5520</t>
  </si>
  <si>
    <t>0023 Upham Road</t>
  </si>
  <si>
    <t>80-698-0324</t>
  </si>
  <si>
    <t>98-587-7923</t>
  </si>
  <si>
    <t>Bluejam</t>
  </si>
  <si>
    <t>7 Duke Parkway</t>
  </si>
  <si>
    <t>36-383-3677</t>
  </si>
  <si>
    <t>88-020-6814</t>
  </si>
  <si>
    <t>7 Anzinger Lane</t>
  </si>
  <si>
    <t>42-907-6946</t>
  </si>
  <si>
    <t>32-386-9832</t>
  </si>
  <si>
    <t>093 Anhalt Crossing</t>
  </si>
  <si>
    <t>96-209-1739</t>
  </si>
  <si>
    <t>82-930-7733</t>
  </si>
  <si>
    <t>779 Ridgeway Street</t>
  </si>
  <si>
    <t>36-679-4670</t>
  </si>
  <si>
    <t>60-508-7567</t>
  </si>
  <si>
    <t>Fatz</t>
  </si>
  <si>
    <t>5 Warner Court</t>
  </si>
  <si>
    <t>08-637-9335</t>
  </si>
  <si>
    <t>99-178-0951</t>
  </si>
  <si>
    <t>9 Cardinal Alley</t>
  </si>
  <si>
    <t>56-875-3717</t>
  </si>
  <si>
    <t>39-257-6162</t>
  </si>
  <si>
    <t>32 Cottonwood Pass</t>
  </si>
  <si>
    <t>86-978-6666</t>
  </si>
  <si>
    <t>43-979-2253</t>
  </si>
  <si>
    <t>21343 Brentwood Circle</t>
  </si>
  <si>
    <t>41-475-5305</t>
  </si>
  <si>
    <t>93-900-1170</t>
  </si>
  <si>
    <t>Kwideo</t>
  </si>
  <si>
    <t>88 Hooker Parkway</t>
  </si>
  <si>
    <t>25-911-7736</t>
  </si>
  <si>
    <t>40-180-0752</t>
  </si>
  <si>
    <t>72090 Northfield Place</t>
  </si>
  <si>
    <t>28-433-8533</t>
  </si>
  <si>
    <t>81-694-0300</t>
  </si>
  <si>
    <t>Topicware</t>
  </si>
  <si>
    <t>8 Mayer Trail</t>
  </si>
  <si>
    <t>84-624-0201</t>
  </si>
  <si>
    <t>25-769-3792</t>
  </si>
  <si>
    <t>Skaboo</t>
  </si>
  <si>
    <t>9 Eastlawn Crossing</t>
  </si>
  <si>
    <t>45-634-0679</t>
  </si>
  <si>
    <t>29-542-9338</t>
  </si>
  <si>
    <t>Rhybox</t>
  </si>
  <si>
    <t>9 Anhalt Trail</t>
  </si>
  <si>
    <t>93-014-4256</t>
  </si>
  <si>
    <t>37-599-8579</t>
  </si>
  <si>
    <t>6 Bay Road</t>
  </si>
  <si>
    <t>24-989-3302</t>
  </si>
  <si>
    <t>89-159-0852</t>
  </si>
  <si>
    <t>Eazzy</t>
  </si>
  <si>
    <t>736 Redwing Parkway</t>
  </si>
  <si>
    <t>46-415-8633</t>
  </si>
  <si>
    <t>32-497-0478</t>
  </si>
  <si>
    <t>5 Eggendart Parkway</t>
  </si>
  <si>
    <t>73-117-6105</t>
  </si>
  <si>
    <t>74-729-7466</t>
  </si>
  <si>
    <t>955 4th Road</t>
  </si>
  <si>
    <t>53-710-7630</t>
  </si>
  <si>
    <t>46-171-9624</t>
  </si>
  <si>
    <t>996 Thierer Center</t>
  </si>
  <si>
    <t>10-617-7581</t>
  </si>
  <si>
    <t>86-995-7254</t>
  </si>
  <si>
    <t>0 Lawn Parkway</t>
  </si>
  <si>
    <t>66-312-5511</t>
  </si>
  <si>
    <t>99-553-6838</t>
  </si>
  <si>
    <t>959 Dorton Pass</t>
  </si>
  <si>
    <t>87-423-8486</t>
  </si>
  <si>
    <t>12-947-4739</t>
  </si>
  <si>
    <t>5 Homewood Street</t>
  </si>
  <si>
    <t>64-493-5270</t>
  </si>
  <si>
    <t>36-964-9838</t>
  </si>
  <si>
    <t>4571 Fremont Way</t>
  </si>
  <si>
    <t>31-255-9616</t>
  </si>
  <si>
    <t>11-031-9939</t>
  </si>
  <si>
    <t>9440 Coleman Drive</t>
  </si>
  <si>
    <t>26-799-3714</t>
  </si>
  <si>
    <t>50-877-0990</t>
  </si>
  <si>
    <t>Mymm</t>
  </si>
  <si>
    <t>49225 Homewood Place</t>
  </si>
  <si>
    <t>64-119-7804</t>
  </si>
  <si>
    <t>53-497-9614</t>
  </si>
  <si>
    <t>Jaxbean</t>
  </si>
  <si>
    <t>06584 Mendota Avenue</t>
  </si>
  <si>
    <t>74-181-4135</t>
  </si>
  <si>
    <t>00-487-2428</t>
  </si>
  <si>
    <t>79878 Katie Trail</t>
  </si>
  <si>
    <t>34-369-7712</t>
  </si>
  <si>
    <t>95-241-9348</t>
  </si>
  <si>
    <t>0 Lerdahl Parkway</t>
  </si>
  <si>
    <t>31-157-1822</t>
  </si>
  <si>
    <t>53-998-1422</t>
  </si>
  <si>
    <t>803 Cottonwood Crossing</t>
  </si>
  <si>
    <t>27-459-0724</t>
  </si>
  <si>
    <t>45-331-8563</t>
  </si>
  <si>
    <t>4 Duke Way</t>
  </si>
  <si>
    <t>47-441-7682</t>
  </si>
  <si>
    <t>90-998-1236</t>
  </si>
  <si>
    <t>4247 David Crossing</t>
  </si>
  <si>
    <t>32-676-1026</t>
  </si>
  <si>
    <t>98-155-9583</t>
  </si>
  <si>
    <t>9433 Jenna Lane</t>
  </si>
  <si>
    <t>77-959-1018</t>
  </si>
  <si>
    <t>00-912-3545</t>
  </si>
  <si>
    <t>03 Ryan Circle</t>
  </si>
  <si>
    <t>60-911-3745</t>
  </si>
  <si>
    <t>87-570-0273</t>
  </si>
  <si>
    <t>75054 Ramsey Parkway</t>
  </si>
  <si>
    <t>57-101-0060</t>
  </si>
  <si>
    <t>40-070-5881</t>
  </si>
  <si>
    <t>78919 East Crossing</t>
  </si>
  <si>
    <t>54-758-4622</t>
  </si>
  <si>
    <t>94-903-2643</t>
  </si>
  <si>
    <t>865 Eagle Crest Park</t>
  </si>
  <si>
    <t>92-152-5820</t>
  </si>
  <si>
    <t>50-747-2259</t>
  </si>
  <si>
    <t>0920 Monica Pass</t>
  </si>
  <si>
    <t>44-637-5512</t>
  </si>
  <si>
    <t>27-541-2645</t>
  </si>
  <si>
    <t>00064 Mosinee Circle</t>
  </si>
  <si>
    <t>65-854-9364</t>
  </si>
  <si>
    <t>64-800-4141</t>
  </si>
  <si>
    <t>752 Mccormick Way</t>
  </si>
  <si>
    <t>60-747-8704</t>
  </si>
  <si>
    <t>93-793-4398</t>
  </si>
  <si>
    <t>561 Pennsylvania Way</t>
  </si>
  <si>
    <t>85-835-3445</t>
  </si>
  <si>
    <t>13-433-4930</t>
  </si>
  <si>
    <t>288 Fair Oaks Place</t>
  </si>
  <si>
    <t>66-716-8221</t>
  </si>
  <si>
    <t>67-024-9832</t>
  </si>
  <si>
    <t>54 Weeping Birch Lane</t>
  </si>
  <si>
    <t>01-026-2772</t>
  </si>
  <si>
    <t>20-532-0144</t>
  </si>
  <si>
    <t>3 Bunting Point</t>
  </si>
  <si>
    <t>21-252-1360</t>
  </si>
  <si>
    <t>28-314-1189</t>
  </si>
  <si>
    <t>32 Charing Cross Pass</t>
  </si>
  <si>
    <t>80-039-1261</t>
  </si>
  <si>
    <t>37-994-7932</t>
  </si>
  <si>
    <t>1 Havey Park</t>
  </si>
  <si>
    <t>48-427-0551</t>
  </si>
  <si>
    <t>01-900-4509</t>
  </si>
  <si>
    <t>2 7th Center</t>
  </si>
  <si>
    <t>02-575-1980</t>
  </si>
  <si>
    <t>61-100-8296</t>
  </si>
  <si>
    <t>Yambee</t>
  </si>
  <si>
    <t>34832 Autumn Leaf Terrace</t>
  </si>
  <si>
    <t>61-293-6327</t>
  </si>
  <si>
    <t>00-023-7719</t>
  </si>
  <si>
    <t>4353 Dixon Circle</t>
  </si>
  <si>
    <t>08-519-5579</t>
  </si>
  <si>
    <t>32-178-2765</t>
  </si>
  <si>
    <t>89 Karstens Alley</t>
  </si>
  <si>
    <t>33-670-6797</t>
  </si>
  <si>
    <t>74-032-7560</t>
  </si>
  <si>
    <t>2869 Hudson Drive</t>
  </si>
  <si>
    <t>29-741-8132</t>
  </si>
  <si>
    <t>49-384-4540</t>
  </si>
  <si>
    <t>85 Farwell Parkway</t>
  </si>
  <si>
    <t>89-713-6071</t>
  </si>
  <si>
    <t>84-123-7159</t>
  </si>
  <si>
    <t>60 Dottie Hill</t>
  </si>
  <si>
    <t>00-641-8691</t>
  </si>
  <si>
    <t>34-824-0575</t>
  </si>
  <si>
    <t>797 Mcbride Lane</t>
  </si>
  <si>
    <t>68-977-6854</t>
  </si>
  <si>
    <t>73-830-9633</t>
  </si>
  <si>
    <t>2633 Shasta Alley</t>
  </si>
  <si>
    <t>86-257-4613</t>
  </si>
  <si>
    <t>70-402-4816</t>
  </si>
  <si>
    <t>5 Prentice Pass</t>
  </si>
  <si>
    <t>06-340-6856</t>
  </si>
  <si>
    <t>11-005-7835</t>
  </si>
  <si>
    <t>Podcat</t>
  </si>
  <si>
    <t>84 Rusk Terrace</t>
  </si>
  <si>
    <t>11-338-4598</t>
  </si>
  <si>
    <t>72-360-6358</t>
  </si>
  <si>
    <t>9067 Valley Edge Park</t>
  </si>
  <si>
    <t>82-711-0772</t>
  </si>
  <si>
    <t>78-877-1866</t>
  </si>
  <si>
    <t>463 Oxford Crossing</t>
  </si>
  <si>
    <t>05-184-4175</t>
  </si>
  <si>
    <t>31-676-5646</t>
  </si>
  <si>
    <t>57 Di Loreto Circle</t>
  </si>
  <si>
    <t>17-274-6898</t>
  </si>
  <si>
    <t>34-738-1209</t>
  </si>
  <si>
    <t>657 Texas Street</t>
  </si>
  <si>
    <t>79-569-8856</t>
  </si>
  <si>
    <t>04-854-7165</t>
  </si>
  <si>
    <t>03643 Oakridge Lane</t>
  </si>
  <si>
    <t>00-534-9775</t>
  </si>
  <si>
    <t>79-955-6260</t>
  </si>
  <si>
    <t>68 Dakota Center</t>
  </si>
  <si>
    <t>94-071-2261</t>
  </si>
  <si>
    <t>25-706-2146</t>
  </si>
  <si>
    <t>2004 Cody Plaza</t>
  </si>
  <si>
    <t>94-355-3070</t>
  </si>
  <si>
    <t>73-393-9432</t>
  </si>
  <si>
    <t>116 Spaight Park</t>
  </si>
  <si>
    <t>17-265-1899</t>
  </si>
  <si>
    <t>61-793-0279</t>
  </si>
  <si>
    <t>4826 Drewry Center</t>
  </si>
  <si>
    <t>13-888-0149</t>
  </si>
  <si>
    <t>09-902-6272</t>
  </si>
  <si>
    <t>1 Logan Road</t>
  </si>
  <si>
    <t>21-890-2826</t>
  </si>
  <si>
    <t>32-371-1686</t>
  </si>
  <si>
    <t>84 Hoffman Way</t>
  </si>
  <si>
    <t>05-425-0746</t>
  </si>
  <si>
    <t>23-450-0301</t>
  </si>
  <si>
    <t>49884 Brickson Park Plaza</t>
  </si>
  <si>
    <t>88-807-8431</t>
  </si>
  <si>
    <t>66-563-9462</t>
  </si>
  <si>
    <t>2 Russell Alley</t>
  </si>
  <si>
    <t>77-377-1659</t>
  </si>
  <si>
    <t>64-674-3902</t>
  </si>
  <si>
    <t>6 Acker Street</t>
  </si>
  <si>
    <t>92-362-3567</t>
  </si>
  <si>
    <t>40-056-7748</t>
  </si>
  <si>
    <t>826 Melvin Pass</t>
  </si>
  <si>
    <t>99-961-0767</t>
  </si>
  <si>
    <t>78-954-5649</t>
  </si>
  <si>
    <t>Tambee</t>
  </si>
  <si>
    <t>40113 Blaine Place</t>
  </si>
  <si>
    <t>94-092-3355</t>
  </si>
  <si>
    <t>76-641-2070</t>
  </si>
  <si>
    <t>929 Thierer Lane</t>
  </si>
  <si>
    <t>29-344-3658</t>
  </si>
  <si>
    <t>33-546-5056</t>
  </si>
  <si>
    <t>7 Talmadge Street</t>
  </si>
  <si>
    <t>60-327-4114</t>
  </si>
  <si>
    <t>59-968-8346</t>
  </si>
  <si>
    <t>3 Bellgrove Way</t>
  </si>
  <si>
    <t>13-409-9040</t>
  </si>
  <si>
    <t>34-303-5097</t>
  </si>
  <si>
    <t>Jazzy</t>
  </si>
  <si>
    <t>9623 Cottonwood Park</t>
  </si>
  <si>
    <t>75-927-9108</t>
  </si>
  <si>
    <t>27-406-7972</t>
  </si>
  <si>
    <t>43 Washington Street</t>
  </si>
  <si>
    <t>30-806-3823</t>
  </si>
  <si>
    <t>36-451-3173</t>
  </si>
  <si>
    <t>07 Pankratz Point</t>
  </si>
  <si>
    <t>65-780-5622</t>
  </si>
  <si>
    <t>69-460-9770</t>
  </si>
  <si>
    <t>65 Forster Way</t>
  </si>
  <si>
    <t>94-598-3383</t>
  </si>
  <si>
    <t>39-488-0039</t>
  </si>
  <si>
    <t>7403 Fuller Hill</t>
  </si>
  <si>
    <t>45-250-4679</t>
  </si>
  <si>
    <t>80-328-4990</t>
  </si>
  <si>
    <t>49148 Meadow Ridge Way</t>
  </si>
  <si>
    <t>45-317-9731</t>
  </si>
  <si>
    <t>05-779-0378</t>
  </si>
  <si>
    <t>Wordware</t>
  </si>
  <si>
    <t>70156 7th Junction</t>
  </si>
  <si>
    <t>41-131-3841</t>
  </si>
  <si>
    <t>55-269-1746</t>
  </si>
  <si>
    <t>16 Fair Oaks Pass</t>
  </si>
  <si>
    <t>15-905-7750</t>
  </si>
  <si>
    <t>48-176-1622</t>
  </si>
  <si>
    <t>36687 Maple Avenue</t>
  </si>
  <si>
    <t>68-973-8812</t>
  </si>
  <si>
    <t>31-955-7362</t>
  </si>
  <si>
    <t>55 Cherokee Circle</t>
  </si>
  <si>
    <t>49-570-8214</t>
  </si>
  <si>
    <t>17-345-5800</t>
  </si>
  <si>
    <t>1823 Elgar Park</t>
  </si>
  <si>
    <t>57-779-4955</t>
  </si>
  <si>
    <t>84-869-9980</t>
  </si>
  <si>
    <t>38436 Anthes Way</t>
  </si>
  <si>
    <t>85-781-5386</t>
  </si>
  <si>
    <t>89-439-6947</t>
  </si>
  <si>
    <t>10577 Thierer Plaza</t>
  </si>
  <si>
    <t>72-341-1154</t>
  </si>
  <si>
    <t>84-090-6472</t>
  </si>
  <si>
    <t>8682 Golf Course Junction</t>
  </si>
  <si>
    <t>28-986-8001</t>
  </si>
  <si>
    <t>37-281-2537</t>
  </si>
  <si>
    <t>4 Old Shore Avenue</t>
  </si>
  <si>
    <t>82-811-7988</t>
  </si>
  <si>
    <t>41-772-9238</t>
  </si>
  <si>
    <t>65 Chinook Circle</t>
  </si>
  <si>
    <t>27-495-1912</t>
  </si>
  <si>
    <t>34-667-8907</t>
  </si>
  <si>
    <t>Thoughtbridge</t>
  </si>
  <si>
    <t>12710 Gulseth Circle</t>
  </si>
  <si>
    <t>44-480-9446</t>
  </si>
  <si>
    <t>35-000-6015</t>
  </si>
  <si>
    <t>43591 East Road</t>
  </si>
  <si>
    <t>77-937-1108</t>
  </si>
  <si>
    <t>41-007-0132</t>
  </si>
  <si>
    <t>01 Hansons Crossing</t>
  </si>
  <si>
    <t>82-538-4809</t>
  </si>
  <si>
    <t>74-357-2990</t>
  </si>
  <si>
    <t>700 Northland Crossing</t>
  </si>
  <si>
    <t>69-895-3397</t>
  </si>
  <si>
    <t>02-575-2074</t>
  </si>
  <si>
    <t>98 Melody Street</t>
  </si>
  <si>
    <t>44-112-3331</t>
  </si>
  <si>
    <t>90-453-4096</t>
  </si>
  <si>
    <t>63787 Arkansas Street</t>
  </si>
  <si>
    <t>93-682-2069</t>
  </si>
  <si>
    <t>60-038-7810</t>
  </si>
  <si>
    <t>2718 Londonderry Plaza</t>
  </si>
  <si>
    <t>49-199-6836</t>
  </si>
  <si>
    <t>81-999-7392</t>
  </si>
  <si>
    <t>77 Brown Circle</t>
  </si>
  <si>
    <t>47-221-2470</t>
  </si>
  <si>
    <t>30-780-7583</t>
  </si>
  <si>
    <t>Teklist</t>
  </si>
  <si>
    <t>60 Messerschmidt Pass</t>
  </si>
  <si>
    <t>71-067-3278</t>
  </si>
  <si>
    <t>76-797-9430</t>
  </si>
  <si>
    <t>5521 Wayridge Center</t>
  </si>
  <si>
    <t>89-388-3239</t>
  </si>
  <si>
    <t>28-521-7083</t>
  </si>
  <si>
    <t>4346 Columbus Way</t>
  </si>
  <si>
    <t>10-555-5971</t>
  </si>
  <si>
    <t>30-410-3509</t>
  </si>
  <si>
    <t>8425 New Castle Parkway</t>
  </si>
  <si>
    <t>82-931-7126</t>
  </si>
  <si>
    <t>67-596-1997</t>
  </si>
  <si>
    <t>856 School Plaza</t>
  </si>
  <si>
    <t>24-228-6840</t>
  </si>
  <si>
    <t>26-280-5472</t>
  </si>
  <si>
    <t>Myworks</t>
  </si>
  <si>
    <t>68241 Hanson Circle</t>
  </si>
  <si>
    <t>52-392-5312</t>
  </si>
  <si>
    <t>78-092-4768</t>
  </si>
  <si>
    <t>336 Old Shore Lane</t>
  </si>
  <si>
    <t>36-531-4087</t>
  </si>
  <si>
    <t>83-172-5527</t>
  </si>
  <si>
    <t>2 Columbus Drive</t>
  </si>
  <si>
    <t>39-810-2042</t>
  </si>
  <si>
    <t>65-620-9866</t>
  </si>
  <si>
    <t>47817 Oneill Park</t>
  </si>
  <si>
    <t>55-164-7723</t>
  </si>
  <si>
    <t>85-454-9252</t>
  </si>
  <si>
    <t>6410 Northwestern Pass</t>
  </si>
  <si>
    <t>61-680-9496</t>
  </si>
  <si>
    <t>75-448-1356</t>
  </si>
  <si>
    <t>2 Northridge Street</t>
  </si>
  <si>
    <t>24-143-4957</t>
  </si>
  <si>
    <t>29-968-4976</t>
  </si>
  <si>
    <t>685 Independence Junction</t>
  </si>
  <si>
    <t>26-456-1992</t>
  </si>
  <si>
    <t>60-159-3514</t>
  </si>
  <si>
    <t>1792 Crownhardt Street</t>
  </si>
  <si>
    <t>62-998-7250</t>
  </si>
  <si>
    <t>72-002-3904</t>
  </si>
  <si>
    <t>9171 Redwing Street</t>
  </si>
  <si>
    <t>38-617-7226</t>
  </si>
  <si>
    <t>91-215-9838</t>
  </si>
  <si>
    <t>33145 Butterfield Avenue</t>
  </si>
  <si>
    <t>00-366-9496</t>
  </si>
  <si>
    <t>40-515-1141</t>
  </si>
  <si>
    <t>898 Rowland Trail</t>
  </si>
  <si>
    <t>76-027-4850</t>
  </si>
  <si>
    <t>75-256-5638</t>
  </si>
  <si>
    <t>425 Shasta Terrace</t>
  </si>
  <si>
    <t>27-269-5260</t>
  </si>
  <si>
    <t>54-724-8610</t>
  </si>
  <si>
    <t>1661 Springview Terrace</t>
  </si>
  <si>
    <t>40-126-0515</t>
  </si>
  <si>
    <t>78-379-0369</t>
  </si>
  <si>
    <t>28351 Cascade Plaza</t>
  </si>
  <si>
    <t>31-387-5020</t>
  </si>
  <si>
    <t>02-811-7933</t>
  </si>
  <si>
    <t>854 Kipling Point</t>
  </si>
  <si>
    <t>13-673-7016</t>
  </si>
  <si>
    <t>78-726-6352</t>
  </si>
  <si>
    <t>04 Hagan Crossing</t>
  </si>
  <si>
    <t>85-212-2729</t>
  </si>
  <si>
    <t>58-226-6435</t>
  </si>
  <si>
    <t>93 Longview Junction</t>
  </si>
  <si>
    <t>99-048-8310</t>
  </si>
  <si>
    <t>70-453-8646</t>
  </si>
  <si>
    <t>43 Lakewood Junction</t>
  </si>
  <si>
    <t>19-112-1616</t>
  </si>
  <si>
    <t>55-251-3001</t>
  </si>
  <si>
    <t>7698 Logan Drive</t>
  </si>
  <si>
    <t>98-546-7398</t>
  </si>
  <si>
    <t>37-921-2953</t>
  </si>
  <si>
    <t>Thoughtworks</t>
  </si>
  <si>
    <t>15658 Talisman Lane</t>
  </si>
  <si>
    <t>63-874-9747</t>
  </si>
  <si>
    <t>22-506-4911</t>
  </si>
  <si>
    <t>183 Buell Park</t>
  </si>
  <si>
    <t>58-946-5152</t>
  </si>
  <si>
    <t>42-201-4328</t>
  </si>
  <si>
    <t>06 Lake View Trail</t>
  </si>
  <si>
    <t>65-867-4029</t>
  </si>
  <si>
    <t>70-591-9841</t>
  </si>
  <si>
    <t>36124 Carberry Junction</t>
  </si>
  <si>
    <t>89-328-9019</t>
  </si>
  <si>
    <t>63-057-0462</t>
  </si>
  <si>
    <t>33774 Carberry Circle</t>
  </si>
  <si>
    <t>02-170-5225</t>
  </si>
  <si>
    <t>90-940-9550</t>
  </si>
  <si>
    <t>36 Bobwhite Parkway</t>
  </si>
  <si>
    <t>24-478-8277</t>
  </si>
  <si>
    <t>64-070-7611</t>
  </si>
  <si>
    <t>55276 Golf Hill</t>
  </si>
  <si>
    <t>91-290-9062</t>
  </si>
  <si>
    <t>95-609-1485</t>
  </si>
  <si>
    <t>9821 Novick Hill</t>
  </si>
  <si>
    <t>44-546-5713</t>
  </si>
  <si>
    <t>61-382-5182</t>
  </si>
  <si>
    <t>832 Goodland Alley</t>
  </si>
  <si>
    <t>20-031-0532</t>
  </si>
  <si>
    <t>35-835-8848</t>
  </si>
  <si>
    <t>8239 Laurel Way</t>
  </si>
  <si>
    <t>48-242-8445</t>
  </si>
  <si>
    <t>84-941-3034</t>
  </si>
  <si>
    <t>29 Vera Drive</t>
  </si>
  <si>
    <t>33-378-1365</t>
  </si>
  <si>
    <t>31-483-9201</t>
  </si>
  <si>
    <t>23560 Talmadge Center</t>
  </si>
  <si>
    <t>57-763-5501</t>
  </si>
  <si>
    <t>25-790-1641</t>
  </si>
  <si>
    <t>46 Colorado Place</t>
  </si>
  <si>
    <t>71-015-9181</t>
  </si>
  <si>
    <t>56-196-9896</t>
  </si>
  <si>
    <t>62238 Mallory Place</t>
  </si>
  <si>
    <t>14-115-8371</t>
  </si>
  <si>
    <t>80-833-3051</t>
  </si>
  <si>
    <t>40 Cody Pass</t>
  </si>
  <si>
    <t>83-568-3475</t>
  </si>
  <si>
    <t>10-950-0546</t>
  </si>
  <si>
    <t>29150 Farmco Crossing</t>
  </si>
  <si>
    <t>79-884-8810</t>
  </si>
  <si>
    <t>14-108-0409</t>
  </si>
  <si>
    <t>546 Declaration Place</t>
  </si>
  <si>
    <t>50-772-2613</t>
  </si>
  <si>
    <t>74-619-4608</t>
  </si>
  <si>
    <t>7 Lunder Hill</t>
  </si>
  <si>
    <t>19-377-5021</t>
  </si>
  <si>
    <t>34-014-5873</t>
  </si>
  <si>
    <t>884 Sloan Drive</t>
  </si>
  <si>
    <t>39-913-2999</t>
  </si>
  <si>
    <t>74-119-8973</t>
  </si>
  <si>
    <t>15 Oriole Park</t>
  </si>
  <si>
    <t>46-911-1159</t>
  </si>
  <si>
    <t>30-820-2883</t>
  </si>
  <si>
    <t>9171 Norway Maple Trail</t>
  </si>
  <si>
    <t>40-630-1431</t>
  </si>
  <si>
    <t>61-040-9004</t>
  </si>
  <si>
    <t>8119 Homewood Drive</t>
  </si>
  <si>
    <t>15-797-4824</t>
  </si>
  <si>
    <t>46-830-4835</t>
  </si>
  <si>
    <t>Mudo</t>
  </si>
  <si>
    <t>25923 Loeprich Junction</t>
  </si>
  <si>
    <t>37-248-6266</t>
  </si>
  <si>
    <t>75-553-7424</t>
  </si>
  <si>
    <t>7051 Calypso Place</t>
  </si>
  <si>
    <t>22-760-4605</t>
  </si>
  <si>
    <t>01-495-9336</t>
  </si>
  <si>
    <t>09264 Forest Dale Drive</t>
  </si>
  <si>
    <t>80-020-8041</t>
  </si>
  <si>
    <t>66-684-1941</t>
  </si>
  <si>
    <t>662 Vernon Point</t>
  </si>
  <si>
    <t>44-634-8292</t>
  </si>
  <si>
    <t>48-557-5036</t>
  </si>
  <si>
    <t>46 Orin Drive</t>
  </si>
  <si>
    <t>19-610-2236</t>
  </si>
  <si>
    <t>53-799-3174</t>
  </si>
  <si>
    <t>8524 Shelley Way</t>
  </si>
  <si>
    <t>49-579-4325</t>
  </si>
  <si>
    <t>98-558-5813</t>
  </si>
  <si>
    <t>6 Anniversary Circle</t>
  </si>
  <si>
    <t>42-134-9798</t>
  </si>
  <si>
    <t>16-869-7328</t>
  </si>
  <si>
    <t>0087 Bluejay Plaza</t>
  </si>
  <si>
    <t>84-546-7624</t>
  </si>
  <si>
    <t>34-730-9079</t>
  </si>
  <si>
    <t>61057 Hallows Junction</t>
  </si>
  <si>
    <t>11-891-8213</t>
  </si>
  <si>
    <t>25-741-5987</t>
  </si>
  <si>
    <t>13 Westport Hill</t>
  </si>
  <si>
    <t>03-597-9488</t>
  </si>
  <si>
    <t>03-983-0515</t>
  </si>
  <si>
    <t>53 Lawn Circle</t>
  </si>
  <si>
    <t>89-624-7462</t>
  </si>
  <si>
    <t>39-506-2186</t>
  </si>
  <si>
    <t>25 Drewry Alley</t>
  </si>
  <si>
    <t>89-335-0155</t>
  </si>
  <si>
    <t>83-780-4531</t>
  </si>
  <si>
    <t>9 Kipling Road</t>
  </si>
  <si>
    <t>59-725-4038</t>
  </si>
  <si>
    <t>39-055-1703</t>
  </si>
  <si>
    <t>Zoozzy</t>
  </si>
  <si>
    <t>697 Hoepker Center</t>
  </si>
  <si>
    <t>78-953-2073</t>
  </si>
  <si>
    <t>28-465-9141</t>
  </si>
  <si>
    <t>085 Reinke Pass</t>
  </si>
  <si>
    <t>91-426-3204</t>
  </si>
  <si>
    <t>86-184-4829</t>
  </si>
  <si>
    <t>269 Dakota Trail</t>
  </si>
  <si>
    <t>40-913-9772</t>
  </si>
  <si>
    <t>51-215-2283</t>
  </si>
  <si>
    <t>553 Hooker Trail</t>
  </si>
  <si>
    <t>89-922-4773</t>
  </si>
  <si>
    <t>99-455-0707</t>
  </si>
  <si>
    <t>11 Thackeray Hill</t>
  </si>
  <si>
    <t>17-236-0566</t>
  </si>
  <si>
    <t>32-402-9679</t>
  </si>
  <si>
    <t>803 5th Alley</t>
  </si>
  <si>
    <t>74-234-0628</t>
  </si>
  <si>
    <t>49-559-7092</t>
  </si>
  <si>
    <t>2 Veith Crossing</t>
  </si>
  <si>
    <t>80-441-7249</t>
  </si>
  <si>
    <t>35-979-6839</t>
  </si>
  <si>
    <t>652 High Crossing Lane</t>
  </si>
  <si>
    <t>54-708-7327</t>
  </si>
  <si>
    <t>46-316-6919</t>
  </si>
  <si>
    <t>8182 Hazelcrest Place</t>
  </si>
  <si>
    <t>15-846-7959</t>
  </si>
  <si>
    <t>47-026-0505</t>
  </si>
  <si>
    <t>6251 Eliot Hill</t>
  </si>
  <si>
    <t>44-368-7112</t>
  </si>
  <si>
    <t>85-978-7855</t>
  </si>
  <si>
    <t>82 Hintze Court</t>
  </si>
  <si>
    <t>03-833-3577</t>
  </si>
  <si>
    <t>87-032-6971</t>
  </si>
  <si>
    <t>38 Killdeer Point</t>
  </si>
  <si>
    <t>47-548-6500</t>
  </si>
  <si>
    <t>27-061-4764</t>
  </si>
  <si>
    <t>06 Shopko Pass</t>
  </si>
  <si>
    <t>12-342-4482</t>
  </si>
  <si>
    <t>71-300-8176</t>
  </si>
  <si>
    <t>374 Blue Bill Park Point</t>
  </si>
  <si>
    <t>07-834-3320</t>
  </si>
  <si>
    <t>47-831-9154</t>
  </si>
  <si>
    <t>79 Monterey Avenue</t>
  </si>
  <si>
    <t>16-187-5729</t>
  </si>
  <si>
    <t>79-366-7207</t>
  </si>
  <si>
    <t>Zoombeat</t>
  </si>
  <si>
    <t>22555 Macpherson Plaza</t>
  </si>
  <si>
    <t>64-109-7362</t>
  </si>
  <si>
    <t>38-603-6412</t>
  </si>
  <si>
    <t>7 Harper Drive</t>
  </si>
  <si>
    <t>06-655-5498</t>
  </si>
  <si>
    <t>89-574-3430</t>
  </si>
  <si>
    <t>8569 Bashford Court</t>
  </si>
  <si>
    <t>24-975-4231</t>
  </si>
  <si>
    <t>99-145-4924</t>
  </si>
  <si>
    <t>62494 Longview Drive</t>
  </si>
  <si>
    <t>98-652-9569</t>
  </si>
  <si>
    <t>65-160-1426</t>
  </si>
  <si>
    <t>Ooba</t>
  </si>
  <si>
    <t>32 6th Lane</t>
  </si>
  <si>
    <t>25-522-6043</t>
  </si>
  <si>
    <t>29-122-7037</t>
  </si>
  <si>
    <t>890 Eggendart Pass</t>
  </si>
  <si>
    <t>28-275-5901</t>
  </si>
  <si>
    <t>44-760-4337</t>
  </si>
  <si>
    <t>4 Doe Crossing Avenue</t>
  </si>
  <si>
    <t>96-164-0607</t>
  </si>
  <si>
    <t>15-655-3923</t>
  </si>
  <si>
    <t>1275 Lawn Center</t>
  </si>
  <si>
    <t>93-815-0565</t>
  </si>
  <si>
    <t>56-422-1480</t>
  </si>
  <si>
    <t>8868 Armistice Place</t>
  </si>
  <si>
    <t>63-918-8253</t>
  </si>
  <si>
    <t>94-157-1762</t>
  </si>
  <si>
    <t>917 Westerfield Terrace</t>
  </si>
  <si>
    <t>57-167-0669</t>
  </si>
  <si>
    <t>30-934-3251</t>
  </si>
  <si>
    <t>1005 Lyons Junction</t>
  </si>
  <si>
    <t>52-402-9245</t>
  </si>
  <si>
    <t>37-519-7762</t>
  </si>
  <si>
    <t>185 Stone Corner Parkway</t>
  </si>
  <si>
    <t>17-647-0503</t>
  </si>
  <si>
    <t>69-416-9493</t>
  </si>
  <si>
    <t>0 Village Green Street</t>
  </si>
  <si>
    <t>67-984-5368</t>
  </si>
  <si>
    <t>39-714-7313</t>
  </si>
  <si>
    <t>Yakidoo</t>
  </si>
  <si>
    <t>0 Fordem Place</t>
  </si>
  <si>
    <t>77-827-0820</t>
  </si>
  <si>
    <t>46-590-7639</t>
  </si>
  <si>
    <t>8851 Superior Park</t>
  </si>
  <si>
    <t>27-387-0428</t>
  </si>
  <si>
    <t>62-312-2748</t>
  </si>
  <si>
    <t>1715 Dottie Pass</t>
  </si>
  <si>
    <t>79-350-5841</t>
  </si>
  <si>
    <t>81-676-3345</t>
  </si>
  <si>
    <t>75 Cascade Avenue</t>
  </si>
  <si>
    <t>44-128-2185</t>
  </si>
  <si>
    <t>79-091-7381</t>
  </si>
  <si>
    <t>012 Mockingbird Court</t>
  </si>
  <si>
    <t>48-789-9187</t>
  </si>
  <si>
    <t>95-944-5323</t>
  </si>
  <si>
    <t>41 Stephen Crossing</t>
  </si>
  <si>
    <t>21-809-7115</t>
  </si>
  <si>
    <t>57-774-4116</t>
  </si>
  <si>
    <t>3053 Sachs Center</t>
  </si>
  <si>
    <t>19-323-0506</t>
  </si>
  <si>
    <t>28-977-3789</t>
  </si>
  <si>
    <t>5 Ohio Lane</t>
  </si>
  <si>
    <t>04-637-8815</t>
  </si>
  <si>
    <t>60-959-6355</t>
  </si>
  <si>
    <t>537 Maple Alley</t>
  </si>
  <si>
    <t>60-644-6596</t>
  </si>
  <si>
    <t>32-745-8366</t>
  </si>
  <si>
    <t>22 Hudson Pass</t>
  </si>
  <si>
    <t>58-005-5343</t>
  </si>
  <si>
    <t>83-401-2709</t>
  </si>
  <si>
    <t>43211 Lakeland Place</t>
  </si>
  <si>
    <t>67-382-4435</t>
  </si>
  <si>
    <t>49-901-0828</t>
  </si>
  <si>
    <t>Fivespan</t>
  </si>
  <si>
    <t>92 Bartelt Terrace</t>
  </si>
  <si>
    <t>09-335-7793</t>
  </si>
  <si>
    <t>96-918-7047</t>
  </si>
  <si>
    <t>5649 Vidon Plaza</t>
  </si>
  <si>
    <t>46-496-2930</t>
  </si>
  <si>
    <t>29-295-9755</t>
  </si>
  <si>
    <t>156 Golf Course Alley</t>
  </si>
  <si>
    <t>35-353-4068</t>
  </si>
  <si>
    <t>44-199-6832</t>
  </si>
  <si>
    <t>8583 Northwestern Terrace</t>
  </si>
  <si>
    <t>45-050-4720</t>
  </si>
  <si>
    <t>98-791-5014</t>
  </si>
  <si>
    <t>7 Ridge Oak Pass</t>
  </si>
  <si>
    <t>87-104-0187</t>
  </si>
  <si>
    <t>41-881-1166</t>
  </si>
  <si>
    <t>0 Moose Lane</t>
  </si>
  <si>
    <t>85-806-8672</t>
  </si>
  <si>
    <t>44-646-7502</t>
  </si>
  <si>
    <t>24 South Trail</t>
  </si>
  <si>
    <t>54-281-3746</t>
  </si>
  <si>
    <t>08-824-4585</t>
  </si>
  <si>
    <t>00 Ridgeway Plaza</t>
  </si>
  <si>
    <t>35-257-9312</t>
  </si>
  <si>
    <t>35-927-4986</t>
  </si>
  <si>
    <t>9463 Northland Court</t>
  </si>
  <si>
    <t>63-897-8088</t>
  </si>
  <si>
    <t>82-313-4469</t>
  </si>
  <si>
    <t>7944 Elgar Alley</t>
  </si>
  <si>
    <t>24-986-5091</t>
  </si>
  <si>
    <t>51-076-1164</t>
  </si>
  <si>
    <t>88 Lighthouse Bay Crossing</t>
  </si>
  <si>
    <t>17-504-3699</t>
  </si>
  <si>
    <t>81-276-8218</t>
  </si>
  <si>
    <t>18 Daystar Parkway</t>
  </si>
  <si>
    <t>23-395-3157</t>
  </si>
  <si>
    <t>48-538-8538</t>
  </si>
  <si>
    <t>74 Sugar Plaza</t>
  </si>
  <si>
    <t>28-107-4953</t>
  </si>
  <si>
    <t>01-165-8830</t>
  </si>
  <si>
    <t>Babbleblab</t>
  </si>
  <si>
    <t>29755 Daystar Street</t>
  </si>
  <si>
    <t>46-083-7058</t>
  </si>
  <si>
    <t>26-730-0925</t>
  </si>
  <si>
    <t>21530 Prentice Place</t>
  </si>
  <si>
    <t>68-436-1268</t>
  </si>
  <si>
    <t>10-694-6636</t>
  </si>
  <si>
    <t>1 Mockingbird Parkway</t>
  </si>
  <si>
    <t>93-198-5984</t>
  </si>
  <si>
    <t>86-441-7850</t>
  </si>
  <si>
    <t>54706 Prairieview Point</t>
  </si>
  <si>
    <t>24-571-1080</t>
  </si>
  <si>
    <t>07-520-1107</t>
  </si>
  <si>
    <t>5325 Milwaukee Lane</t>
  </si>
  <si>
    <t>73-874-7534</t>
  </si>
  <si>
    <t>12-566-2563</t>
  </si>
  <si>
    <t>901 Norway Maple Crossing</t>
  </si>
  <si>
    <t>07-337-9889</t>
  </si>
  <si>
    <t>84-949-8378</t>
  </si>
  <si>
    <t>4 Loomis Way</t>
  </si>
  <si>
    <t>28-197-9246</t>
  </si>
  <si>
    <t>31-281-2352</t>
  </si>
  <si>
    <t>8499 Hanover Terrace</t>
  </si>
  <si>
    <t>83-400-9746</t>
  </si>
  <si>
    <t>02-510-0629</t>
  </si>
  <si>
    <t>40 Merchant Terrace</t>
  </si>
  <si>
    <t>24-579-6500</t>
  </si>
  <si>
    <t>60-309-5783</t>
  </si>
  <si>
    <t>4 Stang Place</t>
  </si>
  <si>
    <t>64-418-8356</t>
  </si>
  <si>
    <t>91-451-2016</t>
  </si>
  <si>
    <t>1 Green Hill</t>
  </si>
  <si>
    <t>15-884-7413</t>
  </si>
  <si>
    <t>39-412-7454</t>
  </si>
  <si>
    <t>6225 Westend Pass</t>
  </si>
  <si>
    <t>79-494-2472</t>
  </si>
  <si>
    <t>04-391-8892</t>
  </si>
  <si>
    <t>1615 Bellgrove Crossing</t>
  </si>
  <si>
    <t>36-177-0573</t>
  </si>
  <si>
    <t>62-687-0951</t>
  </si>
  <si>
    <t>35 Portage Road</t>
  </si>
  <si>
    <t>79-920-2395</t>
  </si>
  <si>
    <t>70-825-7341</t>
  </si>
  <si>
    <t>911 Merry Junction</t>
  </si>
  <si>
    <t>96-961-2193</t>
  </si>
  <si>
    <t>71-467-4910</t>
  </si>
  <si>
    <t>Babbleset</t>
  </si>
  <si>
    <t>63578 Butternut Hill</t>
  </si>
  <si>
    <t>69-578-7930</t>
  </si>
  <si>
    <t>37-728-5274</t>
  </si>
  <si>
    <t>83291 Hansons Crossing</t>
  </si>
  <si>
    <t>40-205-8252</t>
  </si>
  <si>
    <t>68-493-0378</t>
  </si>
  <si>
    <t>883 Marcy Place</t>
  </si>
  <si>
    <t>18-107-7886</t>
  </si>
  <si>
    <t>11-466-3182</t>
  </si>
  <si>
    <t>55309 6th Junction</t>
  </si>
  <si>
    <t>35-328-8392</t>
  </si>
  <si>
    <t>52-340-4509</t>
  </si>
  <si>
    <t>09 Londonderry Hill</t>
  </si>
  <si>
    <t>21-650-9319</t>
  </si>
  <si>
    <t>73-445-3017</t>
  </si>
  <si>
    <t>4 Hagan Court</t>
  </si>
  <si>
    <t>99-894-4351</t>
  </si>
  <si>
    <t>45-602-6533</t>
  </si>
  <si>
    <t>185 Saint Paul Road</t>
  </si>
  <si>
    <t>63-168-6018</t>
  </si>
  <si>
    <t>01-853-2191</t>
  </si>
  <si>
    <t>0847 Artisan Hill</t>
  </si>
  <si>
    <t>26-000-1012</t>
  </si>
  <si>
    <t>60-284-1974</t>
  </si>
  <si>
    <t>3 Bayside Point</t>
  </si>
  <si>
    <t>13-900-9016</t>
  </si>
  <si>
    <t>63-969-9608</t>
  </si>
  <si>
    <t>Meetz</t>
  </si>
  <si>
    <t>521 Burning Wood Trail</t>
  </si>
  <si>
    <t>88-408-0310</t>
  </si>
  <si>
    <t>91-002-3027</t>
  </si>
  <si>
    <t>5 Mesta Center</t>
  </si>
  <si>
    <t>73-997-6251</t>
  </si>
  <si>
    <t>17-167-4304</t>
  </si>
  <si>
    <t>1666 Dayton Terrace</t>
  </si>
  <si>
    <t>50-679-2072</t>
  </si>
  <si>
    <t>81-588-5701</t>
  </si>
  <si>
    <t>20 Butterfield Lane</t>
  </si>
  <si>
    <t>89-673-1543</t>
  </si>
  <si>
    <t>43-679-7350</t>
  </si>
  <si>
    <t>297 Petterle Way</t>
  </si>
  <si>
    <t>56-937-8675</t>
  </si>
  <si>
    <t>37-996-3243</t>
  </si>
  <si>
    <t>Trilith</t>
  </si>
  <si>
    <t>668 Claremont Place</t>
  </si>
  <si>
    <t>14-836-2894</t>
  </si>
  <si>
    <t>82-157-4299</t>
  </si>
  <si>
    <t>2 Hooker Terrace</t>
  </si>
  <si>
    <t>87-903-3486</t>
  </si>
  <si>
    <t>90-378-8463</t>
  </si>
  <si>
    <t>99 Twin Pines Alley</t>
  </si>
  <si>
    <t>07-617-6934</t>
  </si>
  <si>
    <t>48-700-8059</t>
  </si>
  <si>
    <t>9262 Sullivan Crossing</t>
  </si>
  <si>
    <t>31-403-6234</t>
  </si>
  <si>
    <t>00-258-2525</t>
  </si>
  <si>
    <t>35 Waxwing Center</t>
  </si>
  <si>
    <t>29-092-3453</t>
  </si>
  <si>
    <t>41-867-9911</t>
  </si>
  <si>
    <t>676 Redwing Trail</t>
  </si>
  <si>
    <t>34-709-9237</t>
  </si>
  <si>
    <t>66-680-8738</t>
  </si>
  <si>
    <t>1509 Hoard Circle</t>
  </si>
  <si>
    <t>13-962-6263</t>
  </si>
  <si>
    <t>26-061-5253</t>
  </si>
  <si>
    <t>7015 Ramsey Lane</t>
  </si>
  <si>
    <t>06-731-2162</t>
  </si>
  <si>
    <t>17-546-8875</t>
  </si>
  <si>
    <t>30968 Anzinger Court</t>
  </si>
  <si>
    <t>10-768-2443</t>
  </si>
  <si>
    <t>44-451-2764</t>
  </si>
  <si>
    <t>4 Orin Lane</t>
  </si>
  <si>
    <t>36-372-2295</t>
  </si>
  <si>
    <t>85-823-7428</t>
  </si>
  <si>
    <t>98 Bartillon Trail</t>
  </si>
  <si>
    <t>34-538-1180</t>
  </si>
  <si>
    <t>40-907-4937</t>
  </si>
  <si>
    <t>19 Aberg Trail</t>
  </si>
  <si>
    <t>98-148-0940</t>
  </si>
  <si>
    <t>06-175-9657</t>
  </si>
  <si>
    <t>588 Waywood Trail</t>
  </si>
  <si>
    <t>38-390-2115</t>
  </si>
  <si>
    <t>12-433-6490</t>
  </si>
  <si>
    <t>3 Del Mar Point</t>
  </si>
  <si>
    <t>02-974-8526</t>
  </si>
  <si>
    <t>09-387-1119</t>
  </si>
  <si>
    <t>42 Green Ridge Terrace</t>
  </si>
  <si>
    <t>29-377-7040</t>
  </si>
  <si>
    <t>59-979-6740</t>
  </si>
  <si>
    <t>9431 Clarendon Pass</t>
  </si>
  <si>
    <t>84-327-7787</t>
  </si>
  <si>
    <t>97-571-0561</t>
  </si>
  <si>
    <t>739 Rowland Way</t>
  </si>
  <si>
    <t>82-231-4245</t>
  </si>
  <si>
    <t>96-177-4040</t>
  </si>
  <si>
    <t>77 Monument Court</t>
  </si>
  <si>
    <t>70-005-5970</t>
  </si>
  <si>
    <t>18-490-4140</t>
  </si>
  <si>
    <t>82955 Dayton Street</t>
  </si>
  <si>
    <t>63-936-0145</t>
  </si>
  <si>
    <t>69-415-3675</t>
  </si>
  <si>
    <t>95 Kingsford Terrace</t>
  </si>
  <si>
    <t>08-196-2703</t>
  </si>
  <si>
    <t>34-315-1199</t>
  </si>
  <si>
    <t>56 Esker Park</t>
  </si>
  <si>
    <t>22-778-3553</t>
  </si>
  <si>
    <t>49-590-1752</t>
  </si>
  <si>
    <t>0782 Dapin Avenue</t>
  </si>
  <si>
    <t>37-610-1999</t>
  </si>
  <si>
    <t>19-985-9694</t>
  </si>
  <si>
    <t>3 John Wall Point</t>
  </si>
  <si>
    <t>09-618-2842</t>
  </si>
  <si>
    <t>68-415-1025</t>
  </si>
  <si>
    <t>642 Arizona Point</t>
  </si>
  <si>
    <t>28-968-4195</t>
  </si>
  <si>
    <t>17-562-1176</t>
  </si>
  <si>
    <t>5 Loftsgordon Trail</t>
  </si>
  <si>
    <t>55-680-0982</t>
  </si>
  <si>
    <t>57-412-5368</t>
  </si>
  <si>
    <t>0 Sutteridge Trail</t>
  </si>
  <si>
    <t>43-851-9440</t>
  </si>
  <si>
    <t>67-674-0287</t>
  </si>
  <si>
    <t>4033 Sloan Hill</t>
  </si>
  <si>
    <t>14-331-3739</t>
  </si>
  <si>
    <t>87-159-6467</t>
  </si>
  <si>
    <t>8 Thackeray Drive</t>
  </si>
  <si>
    <t>54-830-6971</t>
  </si>
  <si>
    <t>94-006-6480</t>
  </si>
  <si>
    <t>674 Ryan Alley</t>
  </si>
  <si>
    <t>53-008-2419</t>
  </si>
  <si>
    <t>86-841-6074</t>
  </si>
  <si>
    <t>63 Debra Park</t>
  </si>
  <si>
    <t>39-358-3340</t>
  </si>
  <si>
    <t>86-841-4440</t>
  </si>
  <si>
    <t>308 Doe Crossing Pass</t>
  </si>
  <si>
    <t>28-146-2641</t>
  </si>
  <si>
    <t>82-995-0739</t>
  </si>
  <si>
    <t>73 Graedel Street</t>
  </si>
  <si>
    <t>83-556-0996</t>
  </si>
  <si>
    <t>81-234-0741</t>
  </si>
  <si>
    <t>53 Forest Run Plaza</t>
  </si>
  <si>
    <t>53-805-9523</t>
  </si>
  <si>
    <t>99-864-0256</t>
  </si>
  <si>
    <t>94 Mallory Center</t>
  </si>
  <si>
    <t>82-977-7752</t>
  </si>
  <si>
    <t>57-473-8672</t>
  </si>
  <si>
    <t>58 Corscot Terrace</t>
  </si>
  <si>
    <t>62-393-9939</t>
  </si>
  <si>
    <t>93-877-9384</t>
  </si>
  <si>
    <t>Gabcube</t>
  </si>
  <si>
    <t>5 Oxford Pass</t>
  </si>
  <si>
    <t>31-745-6850</t>
  </si>
  <si>
    <t>96-215-2767</t>
  </si>
  <si>
    <t>081 Jana Lane</t>
  </si>
  <si>
    <t>86-692-2312</t>
  </si>
  <si>
    <t>77-783-4107</t>
  </si>
  <si>
    <t>00616 Manitowish Parkway</t>
  </si>
  <si>
    <t>28-044-4102</t>
  </si>
  <si>
    <t>93-358-1118</t>
  </si>
  <si>
    <t>309 Burning Wood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</si>
</sst>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B976E-99A2-4059-8254-A04CE41560BA}" name="Table1" displayName="Table1" ref="A1:T991" totalsRowShown="0">
  <autoFilter ref="A1:T991" xr:uid="{C9CB976E-99A2-4059-8254-A04CE41560BA}"/>
  <tableColumns count="20">
    <tableColumn id="1" xr3:uid="{31DB8DA9-2DF6-4013-A4D6-6EDBB4EB90BC}" name="Product_ID"/>
    <tableColumn id="2" xr3:uid="{ADD3733F-50C5-4109-8AA5-411C5E47F714}" name="Product_Name"/>
    <tableColumn id="3" xr3:uid="{9311AD26-FFF9-4A74-A0E4-CC42E281F1F5}" name="Category"/>
    <tableColumn id="4" xr3:uid="{2943828D-268A-41FF-B56D-CC565B7D7AE5}" name="Supplier_ID"/>
    <tableColumn id="5" xr3:uid="{B2A34F3A-FA62-4A65-9FF5-55C3355272C4}" name="Supplier_Name"/>
    <tableColumn id="6" xr3:uid="{1B176F96-A82C-487B-92C7-20E5E10C1CB0}" name="Stock_Quantity"/>
    <tableColumn id="7" xr3:uid="{8F3C2EF0-0591-49F5-8E4E-DB703F904BE8}" name="Reorder_Level"/>
    <tableColumn id="8" xr3:uid="{1624F078-CAFA-4F7A-8F07-2848CA423E47}" name="Reorder_Quantity"/>
    <tableColumn id="9" xr3:uid="{A5A54DCC-A335-4C8A-A69A-DC0080290452}" name="Unit_Price" dataDxfId="6"/>
    <tableColumn id="10" xr3:uid="{F8616F44-1049-4DF1-BBDC-D45346A043B3}" name="Date_Received" dataDxfId="5"/>
    <tableColumn id="11" xr3:uid="{83B5A6C0-1B9C-48C0-B333-5FAEF1B97393}" name="Last_Order_Date" dataDxfId="4"/>
    <tableColumn id="12" xr3:uid="{928EC1AB-4F1D-45BA-A2B1-D46344CB2F7D}" name="Expiration_Date" dataDxfId="3"/>
    <tableColumn id="13" xr3:uid="{3C432A8F-7B63-4423-81C8-FB3856127DD5}" name="Warehouse_Location"/>
    <tableColumn id="14" xr3:uid="{7F6C8D93-FDD9-412E-84E4-C53D14F37DEC}" name="Sales_Volume"/>
    <tableColumn id="15" xr3:uid="{6E81A9C5-999B-4281-8254-7721F643BC28}" name="Inventory_Turnover_Rate"/>
    <tableColumn id="16" xr3:uid="{968B744E-5980-472F-AD0F-C93570302AA3}" name="Status"/>
    <tableColumn id="17" xr3:uid="{12D460E5-6D37-4B17-AABE-1D308F5E6D8C}" name="Date_Check">
      <calculatedColumnFormula>IF(L2&lt;J2,"Expiry before Received",IF(K2&lt;J2,"Last Order before Received","OK"))</calculatedColumnFormula>
    </tableColumn>
    <tableColumn id="18" xr3:uid="{5C0D08D3-7007-47F2-8519-BCB3CD79883A}" name="Inventory_Value" dataDxfId="2">
      <calculatedColumnFormula>F2*I2</calculatedColumnFormula>
    </tableColumn>
    <tableColumn id="19" xr3:uid="{C11F7052-8851-4526-BFF8-0A4680464EBF}" name="Reorder_Gap" dataDxfId="1">
      <calculatedColumnFormula>MAX(0,G2-F2)</calculatedColumnFormula>
    </tableColumn>
    <tableColumn id="20" xr3:uid="{91FDF785-43D0-41CB-B7D6-E0734DB46E25}" name="Stock_Status" dataDxfId="0">
      <calculatedColumnFormula>IF(F2&lt;G2,"Reorder Required","Sufficient Stock")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A78186-775C-44BA-AE1B-2F8093D647B8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01a83b2a-e9a9-4f0d-9b5c-5da2d526cb0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5B86-CBBA-4ECB-9CB8-7C37D17B012D}">
  <dimension ref="A1:T991"/>
  <sheetViews>
    <sheetView tabSelected="1" workbookViewId="0">
      <selection activeCell="F9" sqref="F9"/>
    </sheetView>
  </sheetViews>
  <sheetFormatPr defaultRowHeight="14.4" x14ac:dyDescent="0.3"/>
  <cols>
    <col min="1" max="1" width="12.33203125" bestFit="1" customWidth="1"/>
    <col min="2" max="2" width="16.88671875" bestFit="1" customWidth="1"/>
    <col min="3" max="3" width="16.44140625" bestFit="1" customWidth="1"/>
    <col min="4" max="4" width="12.88671875" bestFit="1" customWidth="1"/>
    <col min="5" max="5" width="16.21875" bestFit="1" customWidth="1"/>
    <col min="6" max="6" width="16" bestFit="1" customWidth="1"/>
    <col min="7" max="7" width="14.88671875" bestFit="1" customWidth="1"/>
    <col min="8" max="8" width="17.77734375" bestFit="1" customWidth="1"/>
    <col min="9" max="9" width="11.77734375" bestFit="1" customWidth="1"/>
    <col min="10" max="10" width="15.6640625" bestFit="1" customWidth="1"/>
    <col min="11" max="11" width="17" bestFit="1" customWidth="1"/>
    <col min="12" max="12" width="16.44140625" bestFit="1" customWidth="1"/>
    <col min="13" max="13" width="27.44140625" bestFit="1" customWidth="1"/>
    <col min="14" max="14" width="14.88671875" bestFit="1" customWidth="1"/>
    <col min="15" max="15" width="23.6640625" bestFit="1" customWidth="1"/>
    <col min="16" max="16" width="11.5546875" bestFit="1" customWidth="1"/>
    <col min="17" max="17" width="22.88671875" bestFit="1" customWidth="1"/>
    <col min="18" max="18" width="16.44140625" bestFit="1" customWidth="1"/>
    <col min="19" max="19" width="14" bestFit="1" customWidth="1"/>
    <col min="20" max="20" width="15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22</v>
      </c>
      <c r="G2">
        <v>72</v>
      </c>
      <c r="H2">
        <v>70</v>
      </c>
      <c r="I2" s="1">
        <v>4.5</v>
      </c>
      <c r="J2" s="2">
        <v>45520</v>
      </c>
      <c r="K2" s="2">
        <v>45472</v>
      </c>
      <c r="L2" s="2">
        <v>45554</v>
      </c>
      <c r="M2" t="s">
        <v>25</v>
      </c>
      <c r="N2">
        <v>32</v>
      </c>
      <c r="O2">
        <v>19</v>
      </c>
      <c r="P2" t="s">
        <v>26</v>
      </c>
      <c r="Q2" t="str">
        <f>IF(L2&lt;J2,"Expiry before Received",IF(K2&lt;J2,"Last Order before Received","OK"))</f>
        <v>Last Order before Received</v>
      </c>
      <c r="R2" s="3">
        <f>F2*I2</f>
        <v>99</v>
      </c>
      <c r="S2">
        <f t="shared" ref="S2:S65" si="0">MAX(0,G2-F2)</f>
        <v>50</v>
      </c>
      <c r="T2" t="str">
        <f>IF(F2&lt;G2,"Reorder Required","Sufficient Stock")</f>
        <v>Reorder Required</v>
      </c>
    </row>
    <row r="3" spans="1:20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45</v>
      </c>
      <c r="G3">
        <v>77</v>
      </c>
      <c r="H3">
        <v>2</v>
      </c>
      <c r="I3" s="1">
        <v>20</v>
      </c>
      <c r="J3" s="2">
        <v>45597</v>
      </c>
      <c r="K3" s="2">
        <v>45441</v>
      </c>
      <c r="L3" s="2">
        <v>45420</v>
      </c>
      <c r="M3" t="s">
        <v>32</v>
      </c>
      <c r="N3">
        <v>85</v>
      </c>
      <c r="O3">
        <v>1</v>
      </c>
      <c r="P3" t="s">
        <v>26</v>
      </c>
      <c r="Q3" t="str">
        <f>IF(L3&lt;J3,"Expiry before Received",IF(K3&lt;J3,"Last Order before Received","OK"))</f>
        <v>Expiry before Received</v>
      </c>
      <c r="R3" s="3">
        <f t="shared" ref="R3:R66" si="1">F3*I3</f>
        <v>900</v>
      </c>
      <c r="S3">
        <f>MAX(0,G3-F3)</f>
        <v>32</v>
      </c>
      <c r="T3" t="str">
        <f t="shared" ref="T3:T66" si="2">IF(F3&lt;G3,"Reorder Required","Sufficient Stock")</f>
        <v>Reorder Required</v>
      </c>
    </row>
    <row r="4" spans="1:20" x14ac:dyDescent="0.3">
      <c r="A4" t="s">
        <v>33</v>
      </c>
      <c r="B4" t="s">
        <v>34</v>
      </c>
      <c r="C4" t="s">
        <v>22</v>
      </c>
      <c r="D4" t="s">
        <v>35</v>
      </c>
      <c r="E4" t="s">
        <v>36</v>
      </c>
      <c r="F4">
        <v>30</v>
      </c>
      <c r="G4">
        <v>38</v>
      </c>
      <c r="H4">
        <v>83</v>
      </c>
      <c r="I4" s="1">
        <v>6</v>
      </c>
      <c r="J4" s="2">
        <v>45507</v>
      </c>
      <c r="K4" s="2">
        <v>45453</v>
      </c>
      <c r="L4" s="2">
        <v>45557</v>
      </c>
      <c r="M4" t="s">
        <v>37</v>
      </c>
      <c r="N4">
        <v>31</v>
      </c>
      <c r="O4">
        <v>34</v>
      </c>
      <c r="P4" t="s">
        <v>38</v>
      </c>
      <c r="Q4" t="str">
        <f>IF(L4&lt;J4,"Expiry before Received",IF(K4&lt;J4,"Last Order before Received","OK"))</f>
        <v>Last Order before Received</v>
      </c>
      <c r="R4" s="3">
        <f>F4*I4</f>
        <v>180</v>
      </c>
      <c r="S4">
        <f t="shared" si="0"/>
        <v>8</v>
      </c>
      <c r="T4" t="str">
        <f t="shared" si="2"/>
        <v>Reorder Required</v>
      </c>
    </row>
    <row r="5" spans="1:20" x14ac:dyDescent="0.3">
      <c r="A5" t="s">
        <v>39</v>
      </c>
      <c r="B5" t="s">
        <v>40</v>
      </c>
      <c r="C5" t="s">
        <v>22</v>
      </c>
      <c r="D5" t="s">
        <v>41</v>
      </c>
      <c r="E5" t="s">
        <v>42</v>
      </c>
      <c r="F5">
        <v>12</v>
      </c>
      <c r="G5">
        <v>59</v>
      </c>
      <c r="H5">
        <v>62</v>
      </c>
      <c r="I5" s="1">
        <v>1.5</v>
      </c>
      <c r="J5" s="2">
        <v>45634</v>
      </c>
      <c r="K5" s="2">
        <v>45707</v>
      </c>
      <c r="L5" s="2">
        <v>45399</v>
      </c>
      <c r="M5" t="s">
        <v>43</v>
      </c>
      <c r="N5">
        <v>95</v>
      </c>
      <c r="O5">
        <v>99</v>
      </c>
      <c r="P5" t="s">
        <v>44</v>
      </c>
      <c r="Q5" t="str">
        <f>IF(L5&lt;J5,"Expiry before Received",IF(K5&lt;J5,"Last Order before Received","OK"))</f>
        <v>Expiry before Received</v>
      </c>
      <c r="R5" s="3">
        <f t="shared" si="1"/>
        <v>18</v>
      </c>
      <c r="S5">
        <f t="shared" si="0"/>
        <v>47</v>
      </c>
      <c r="T5" t="str">
        <f t="shared" si="2"/>
        <v>Reorder Required</v>
      </c>
    </row>
    <row r="6" spans="1:2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>
        <v>37</v>
      </c>
      <c r="G6">
        <v>30</v>
      </c>
      <c r="H6">
        <v>74</v>
      </c>
      <c r="I6" s="1">
        <v>4</v>
      </c>
      <c r="J6" s="2">
        <v>45476</v>
      </c>
      <c r="K6" s="2">
        <v>45576</v>
      </c>
      <c r="L6" s="2">
        <v>45570</v>
      </c>
      <c r="M6" t="s">
        <v>50</v>
      </c>
      <c r="N6">
        <v>62</v>
      </c>
      <c r="O6">
        <v>25</v>
      </c>
      <c r="P6" t="s">
        <v>38</v>
      </c>
      <c r="Q6" t="str">
        <f>IF(L6&lt;J6,"Expiry before Received",IF(K6&lt;J6,"Last Order before Received","OK"))</f>
        <v>OK</v>
      </c>
      <c r="R6" s="3">
        <f t="shared" si="1"/>
        <v>148</v>
      </c>
      <c r="S6">
        <f t="shared" si="0"/>
        <v>0</v>
      </c>
      <c r="T6" t="str">
        <f t="shared" si="2"/>
        <v>Sufficient Stock</v>
      </c>
    </row>
    <row r="7" spans="1:20" x14ac:dyDescent="0.3">
      <c r="A7" t="s">
        <v>51</v>
      </c>
      <c r="B7" t="s">
        <v>52</v>
      </c>
      <c r="C7" t="s">
        <v>22</v>
      </c>
      <c r="D7" t="s">
        <v>53</v>
      </c>
      <c r="E7" t="s">
        <v>54</v>
      </c>
      <c r="F7">
        <v>55</v>
      </c>
      <c r="G7">
        <v>33</v>
      </c>
      <c r="H7">
        <v>14</v>
      </c>
      <c r="I7" s="1">
        <v>1.75</v>
      </c>
      <c r="J7" s="2">
        <v>45629</v>
      </c>
      <c r="K7" s="2">
        <v>45438</v>
      </c>
      <c r="L7" s="2">
        <v>45540</v>
      </c>
      <c r="M7" t="s">
        <v>55</v>
      </c>
      <c r="N7">
        <v>34</v>
      </c>
      <c r="O7">
        <v>62</v>
      </c>
      <c r="P7" t="s">
        <v>26</v>
      </c>
      <c r="Q7" t="str">
        <f t="shared" ref="Q7:Q70" si="3">IF(L7&lt;J7,"Expiry before Received",IF(K7&lt;J7,"Last Order before Received","OK"))</f>
        <v>Expiry before Received</v>
      </c>
      <c r="R7" s="3">
        <f t="shared" si="1"/>
        <v>96.25</v>
      </c>
      <c r="S7">
        <f t="shared" si="0"/>
        <v>0</v>
      </c>
      <c r="T7" t="str">
        <f t="shared" si="2"/>
        <v>Sufficient Stock</v>
      </c>
    </row>
    <row r="8" spans="1:2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>
        <v>96</v>
      </c>
      <c r="G8">
        <v>52</v>
      </c>
      <c r="H8">
        <v>16</v>
      </c>
      <c r="I8" s="1">
        <v>2.5</v>
      </c>
      <c r="J8" s="2">
        <v>45369</v>
      </c>
      <c r="K8" s="2">
        <v>45419</v>
      </c>
      <c r="L8" s="2">
        <v>45463</v>
      </c>
      <c r="M8" t="s">
        <v>61</v>
      </c>
      <c r="N8">
        <v>67</v>
      </c>
      <c r="O8">
        <v>13</v>
      </c>
      <c r="P8" t="s">
        <v>44</v>
      </c>
      <c r="Q8" t="str">
        <f t="shared" si="3"/>
        <v>OK</v>
      </c>
      <c r="R8" s="3">
        <f>F8*I8</f>
        <v>240</v>
      </c>
      <c r="S8">
        <f t="shared" si="0"/>
        <v>0</v>
      </c>
      <c r="T8" t="str">
        <f t="shared" si="2"/>
        <v>Sufficient Stock</v>
      </c>
    </row>
    <row r="9" spans="1:20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>
        <v>44</v>
      </c>
      <c r="G9">
        <v>90</v>
      </c>
      <c r="H9">
        <v>17</v>
      </c>
      <c r="I9" s="1">
        <v>2.5</v>
      </c>
      <c r="J9" s="2">
        <v>45691</v>
      </c>
      <c r="K9" s="2">
        <v>45391</v>
      </c>
      <c r="L9" s="2">
        <v>45693</v>
      </c>
      <c r="M9" t="s">
        <v>67</v>
      </c>
      <c r="N9">
        <v>21</v>
      </c>
      <c r="O9">
        <v>91</v>
      </c>
      <c r="P9" t="s">
        <v>26</v>
      </c>
      <c r="Q9" t="str">
        <f t="shared" si="3"/>
        <v>Last Order before Received</v>
      </c>
      <c r="R9" s="3">
        <f t="shared" si="1"/>
        <v>110</v>
      </c>
      <c r="S9">
        <f t="shared" si="0"/>
        <v>46</v>
      </c>
      <c r="T9" t="str">
        <f t="shared" si="2"/>
        <v>Reorder Required</v>
      </c>
    </row>
    <row r="10" spans="1:20" x14ac:dyDescent="0.3">
      <c r="A10" t="s">
        <v>68</v>
      </c>
      <c r="B10" t="s">
        <v>69</v>
      </c>
      <c r="C10" t="s">
        <v>64</v>
      </c>
      <c r="D10" t="s">
        <v>70</v>
      </c>
      <c r="E10" t="s">
        <v>71</v>
      </c>
      <c r="F10">
        <v>91</v>
      </c>
      <c r="G10">
        <v>84</v>
      </c>
      <c r="H10">
        <v>11</v>
      </c>
      <c r="I10" s="1">
        <v>3</v>
      </c>
      <c r="J10" s="2">
        <v>45630</v>
      </c>
      <c r="K10" s="2">
        <v>45445</v>
      </c>
      <c r="L10" s="2">
        <v>45665</v>
      </c>
      <c r="M10" t="s">
        <v>72</v>
      </c>
      <c r="N10">
        <v>56</v>
      </c>
      <c r="O10">
        <v>90</v>
      </c>
      <c r="P10" t="s">
        <v>44</v>
      </c>
      <c r="Q10" t="str">
        <f t="shared" si="3"/>
        <v>Last Order before Received</v>
      </c>
      <c r="R10" s="3">
        <f t="shared" si="1"/>
        <v>273</v>
      </c>
      <c r="S10">
        <f t="shared" si="0"/>
        <v>0</v>
      </c>
      <c r="T10" t="str">
        <f t="shared" si="2"/>
        <v>Sufficient Stock</v>
      </c>
    </row>
    <row r="11" spans="1:20" x14ac:dyDescent="0.3">
      <c r="A11" t="s">
        <v>73</v>
      </c>
      <c r="B11" t="s">
        <v>74</v>
      </c>
      <c r="C11" t="s">
        <v>64</v>
      </c>
      <c r="D11" t="s">
        <v>75</v>
      </c>
      <c r="E11" t="s">
        <v>76</v>
      </c>
      <c r="F11">
        <v>43</v>
      </c>
      <c r="G11">
        <v>10</v>
      </c>
      <c r="H11">
        <v>15</v>
      </c>
      <c r="I11" s="1">
        <v>1</v>
      </c>
      <c r="J11" s="2">
        <v>45614</v>
      </c>
      <c r="K11" s="2">
        <v>45610</v>
      </c>
      <c r="L11" s="2">
        <v>45481</v>
      </c>
      <c r="M11" t="s">
        <v>77</v>
      </c>
      <c r="N11">
        <v>27</v>
      </c>
      <c r="O11">
        <v>69</v>
      </c>
      <c r="P11" t="s">
        <v>44</v>
      </c>
      <c r="Q11" t="str">
        <f t="shared" si="3"/>
        <v>Expiry before Received</v>
      </c>
      <c r="R11" s="3">
        <f t="shared" si="1"/>
        <v>43</v>
      </c>
      <c r="S11">
        <f t="shared" si="0"/>
        <v>0</v>
      </c>
      <c r="T11" t="str">
        <f t="shared" si="2"/>
        <v>Sufficient Stock</v>
      </c>
    </row>
    <row r="12" spans="1:20" x14ac:dyDescent="0.3">
      <c r="A12" t="s">
        <v>78</v>
      </c>
      <c r="B12" t="s">
        <v>40</v>
      </c>
      <c r="C12" t="s">
        <v>22</v>
      </c>
      <c r="D12" t="s">
        <v>79</v>
      </c>
      <c r="E12" t="s">
        <v>80</v>
      </c>
      <c r="F12">
        <v>62</v>
      </c>
      <c r="G12">
        <v>81</v>
      </c>
      <c r="H12">
        <v>91</v>
      </c>
      <c r="I12" s="1">
        <v>1.6</v>
      </c>
      <c r="J12" s="2">
        <v>45644</v>
      </c>
      <c r="K12" s="2">
        <v>45436</v>
      </c>
      <c r="L12" s="2">
        <v>45664</v>
      </c>
      <c r="M12" t="s">
        <v>81</v>
      </c>
      <c r="N12">
        <v>100</v>
      </c>
      <c r="O12">
        <v>42</v>
      </c>
      <c r="P12" t="s">
        <v>26</v>
      </c>
      <c r="Q12" t="str">
        <f t="shared" si="3"/>
        <v>Last Order before Received</v>
      </c>
      <c r="R12" s="3">
        <f t="shared" si="1"/>
        <v>99.2</v>
      </c>
      <c r="S12">
        <f t="shared" si="0"/>
        <v>19</v>
      </c>
      <c r="T12" t="str">
        <f t="shared" si="2"/>
        <v>Reorder Required</v>
      </c>
    </row>
    <row r="13" spans="1:20" x14ac:dyDescent="0.3">
      <c r="A13" t="s">
        <v>82</v>
      </c>
      <c r="B13" t="s">
        <v>83</v>
      </c>
      <c r="C13" t="s">
        <v>22</v>
      </c>
      <c r="D13" t="s">
        <v>84</v>
      </c>
      <c r="E13" t="s">
        <v>85</v>
      </c>
      <c r="F13">
        <v>91</v>
      </c>
      <c r="G13">
        <v>98</v>
      </c>
      <c r="H13">
        <v>6</v>
      </c>
      <c r="I13" s="1">
        <v>2</v>
      </c>
      <c r="J13" s="2">
        <v>45584</v>
      </c>
      <c r="K13" s="2">
        <v>45637</v>
      </c>
      <c r="L13" s="2">
        <v>45579</v>
      </c>
      <c r="M13" t="s">
        <v>86</v>
      </c>
      <c r="N13">
        <v>100</v>
      </c>
      <c r="O13">
        <v>20</v>
      </c>
      <c r="P13" t="s">
        <v>38</v>
      </c>
      <c r="Q13" t="str">
        <f t="shared" si="3"/>
        <v>Expiry before Received</v>
      </c>
      <c r="R13" s="3">
        <f t="shared" si="1"/>
        <v>182</v>
      </c>
      <c r="S13">
        <f t="shared" si="0"/>
        <v>7</v>
      </c>
      <c r="T13" t="str">
        <f t="shared" si="2"/>
        <v>Reorder Required</v>
      </c>
    </row>
    <row r="14" spans="1:20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>
        <v>26</v>
      </c>
      <c r="G14">
        <v>79</v>
      </c>
      <c r="H14">
        <v>31</v>
      </c>
      <c r="I14" s="1">
        <v>3</v>
      </c>
      <c r="J14" s="2">
        <v>45639</v>
      </c>
      <c r="K14" s="2">
        <v>45697</v>
      </c>
      <c r="L14" s="2">
        <v>45491</v>
      </c>
      <c r="M14" t="s">
        <v>92</v>
      </c>
      <c r="N14">
        <v>47</v>
      </c>
      <c r="O14">
        <v>41</v>
      </c>
      <c r="P14" t="s">
        <v>26</v>
      </c>
      <c r="Q14" t="str">
        <f t="shared" si="3"/>
        <v>Expiry before Received</v>
      </c>
      <c r="R14" s="3">
        <f t="shared" si="1"/>
        <v>78</v>
      </c>
      <c r="S14">
        <f t="shared" si="0"/>
        <v>53</v>
      </c>
      <c r="T14" t="str">
        <f t="shared" si="2"/>
        <v>Reorder Required</v>
      </c>
    </row>
    <row r="15" spans="1:20" x14ac:dyDescent="0.3">
      <c r="A15" t="s">
        <v>93</v>
      </c>
      <c r="B15" t="s">
        <v>46</v>
      </c>
      <c r="C15" t="s">
        <v>47</v>
      </c>
      <c r="D15" t="s">
        <v>94</v>
      </c>
      <c r="E15" t="s">
        <v>95</v>
      </c>
      <c r="F15">
        <v>95</v>
      </c>
      <c r="G15">
        <v>50</v>
      </c>
      <c r="H15">
        <v>76</v>
      </c>
      <c r="I15" s="1">
        <v>4</v>
      </c>
      <c r="J15" s="2">
        <v>45387</v>
      </c>
      <c r="K15" s="2">
        <v>45556</v>
      </c>
      <c r="L15" s="2">
        <v>45418</v>
      </c>
      <c r="M15" t="s">
        <v>96</v>
      </c>
      <c r="N15">
        <v>69</v>
      </c>
      <c r="O15">
        <v>5</v>
      </c>
      <c r="P15" t="s">
        <v>44</v>
      </c>
      <c r="Q15" t="str">
        <f t="shared" si="3"/>
        <v>OK</v>
      </c>
      <c r="R15" s="3">
        <f t="shared" si="1"/>
        <v>380</v>
      </c>
      <c r="S15">
        <f t="shared" si="0"/>
        <v>0</v>
      </c>
      <c r="T15" t="str">
        <f t="shared" si="2"/>
        <v>Sufficient Stock</v>
      </c>
    </row>
    <row r="16" spans="1:20" x14ac:dyDescent="0.3">
      <c r="A16" t="s">
        <v>97</v>
      </c>
      <c r="B16" t="s">
        <v>98</v>
      </c>
      <c r="C16" t="s">
        <v>47</v>
      </c>
      <c r="D16" t="s">
        <v>99</v>
      </c>
      <c r="E16" t="s">
        <v>100</v>
      </c>
      <c r="F16">
        <v>54</v>
      </c>
      <c r="G16">
        <v>26</v>
      </c>
      <c r="H16">
        <v>16</v>
      </c>
      <c r="I16" s="1">
        <v>6</v>
      </c>
      <c r="J16" s="2">
        <v>45362</v>
      </c>
      <c r="K16" s="2">
        <v>45473</v>
      </c>
      <c r="L16" s="2">
        <v>45457</v>
      </c>
      <c r="M16" t="s">
        <v>101</v>
      </c>
      <c r="N16">
        <v>63</v>
      </c>
      <c r="O16">
        <v>97</v>
      </c>
      <c r="P16" t="s">
        <v>44</v>
      </c>
      <c r="Q16" t="str">
        <f t="shared" si="3"/>
        <v>OK</v>
      </c>
      <c r="R16" s="3">
        <f t="shared" si="1"/>
        <v>324</v>
      </c>
      <c r="S16">
        <f t="shared" si="0"/>
        <v>0</v>
      </c>
      <c r="T16" t="str">
        <f t="shared" si="2"/>
        <v>Sufficient Stock</v>
      </c>
    </row>
    <row r="17" spans="1:20" x14ac:dyDescent="0.3">
      <c r="A17" t="s">
        <v>102</v>
      </c>
      <c r="B17" t="s">
        <v>103</v>
      </c>
      <c r="C17" t="s">
        <v>64</v>
      </c>
      <c r="D17" t="s">
        <v>104</v>
      </c>
      <c r="E17" t="s">
        <v>105</v>
      </c>
      <c r="F17">
        <v>94</v>
      </c>
      <c r="G17">
        <v>13</v>
      </c>
      <c r="H17">
        <v>15</v>
      </c>
      <c r="I17" s="1">
        <v>7</v>
      </c>
      <c r="J17" s="2">
        <v>45349</v>
      </c>
      <c r="K17" s="2">
        <v>45384</v>
      </c>
      <c r="L17" s="2">
        <v>45570</v>
      </c>
      <c r="M17" t="s">
        <v>106</v>
      </c>
      <c r="N17">
        <v>20</v>
      </c>
      <c r="O17">
        <v>24</v>
      </c>
      <c r="P17" t="s">
        <v>38</v>
      </c>
      <c r="Q17" t="str">
        <f t="shared" si="3"/>
        <v>OK</v>
      </c>
      <c r="R17" s="3">
        <f t="shared" si="1"/>
        <v>658</v>
      </c>
      <c r="S17">
        <f t="shared" si="0"/>
        <v>0</v>
      </c>
      <c r="T17" t="str">
        <f t="shared" si="2"/>
        <v>Sufficient Stock</v>
      </c>
    </row>
    <row r="18" spans="1:20" x14ac:dyDescent="0.3">
      <c r="A18" t="s">
        <v>107</v>
      </c>
      <c r="B18" t="s">
        <v>108</v>
      </c>
      <c r="C18" t="s">
        <v>22</v>
      </c>
      <c r="D18" t="s">
        <v>109</v>
      </c>
      <c r="E18" t="s">
        <v>110</v>
      </c>
      <c r="F18">
        <v>27</v>
      </c>
      <c r="G18">
        <v>93</v>
      </c>
      <c r="H18">
        <v>88</v>
      </c>
      <c r="I18" s="1">
        <v>1.5</v>
      </c>
      <c r="J18" s="2">
        <v>45612</v>
      </c>
      <c r="K18" s="2">
        <v>45360</v>
      </c>
      <c r="L18" s="2">
        <v>45387</v>
      </c>
      <c r="M18" t="s">
        <v>111</v>
      </c>
      <c r="N18">
        <v>66</v>
      </c>
      <c r="O18">
        <v>13</v>
      </c>
      <c r="P18" t="s">
        <v>44</v>
      </c>
      <c r="Q18" t="str">
        <f t="shared" si="3"/>
        <v>Expiry before Received</v>
      </c>
      <c r="R18" s="3">
        <f t="shared" si="1"/>
        <v>40.5</v>
      </c>
      <c r="S18">
        <f t="shared" si="0"/>
        <v>66</v>
      </c>
      <c r="T18" t="str">
        <f t="shared" si="2"/>
        <v>Reorder Required</v>
      </c>
    </row>
    <row r="19" spans="1:20" x14ac:dyDescent="0.3">
      <c r="A19" t="s">
        <v>112</v>
      </c>
      <c r="B19" t="s">
        <v>113</v>
      </c>
      <c r="C19" t="s">
        <v>64</v>
      </c>
      <c r="D19" t="s">
        <v>114</v>
      </c>
      <c r="E19" t="s">
        <v>115</v>
      </c>
      <c r="F19">
        <v>49</v>
      </c>
      <c r="G19">
        <v>49</v>
      </c>
      <c r="H19">
        <v>26</v>
      </c>
      <c r="I19" s="1">
        <v>8</v>
      </c>
      <c r="J19" s="2">
        <v>45545</v>
      </c>
      <c r="K19" s="2">
        <v>45431</v>
      </c>
      <c r="L19" s="2">
        <v>45474</v>
      </c>
      <c r="M19" t="s">
        <v>116</v>
      </c>
      <c r="N19">
        <v>78</v>
      </c>
      <c r="O19">
        <v>61</v>
      </c>
      <c r="P19" t="s">
        <v>26</v>
      </c>
      <c r="Q19" t="str">
        <f t="shared" si="3"/>
        <v>Expiry before Received</v>
      </c>
      <c r="R19" s="3">
        <f t="shared" si="1"/>
        <v>392</v>
      </c>
      <c r="S19">
        <f t="shared" si="0"/>
        <v>0</v>
      </c>
      <c r="T19" t="str">
        <f t="shared" si="2"/>
        <v>Sufficient Stock</v>
      </c>
    </row>
    <row r="20" spans="1:20" x14ac:dyDescent="0.3">
      <c r="A20" t="s">
        <v>117</v>
      </c>
      <c r="B20" t="s">
        <v>28</v>
      </c>
      <c r="C20" t="s">
        <v>29</v>
      </c>
      <c r="D20" t="s">
        <v>118</v>
      </c>
      <c r="E20" t="s">
        <v>119</v>
      </c>
      <c r="F20">
        <v>55</v>
      </c>
      <c r="G20">
        <v>93</v>
      </c>
      <c r="H20">
        <v>84</v>
      </c>
      <c r="I20" s="1">
        <v>20</v>
      </c>
      <c r="J20" s="2">
        <v>45441</v>
      </c>
      <c r="K20" s="2">
        <v>45604</v>
      </c>
      <c r="L20" s="2">
        <v>45417</v>
      </c>
      <c r="M20" t="s">
        <v>120</v>
      </c>
      <c r="N20">
        <v>46</v>
      </c>
      <c r="O20">
        <v>84</v>
      </c>
      <c r="P20" t="s">
        <v>44</v>
      </c>
      <c r="Q20" t="str">
        <f t="shared" si="3"/>
        <v>Expiry before Received</v>
      </c>
      <c r="R20" s="3">
        <f t="shared" si="1"/>
        <v>1100</v>
      </c>
      <c r="S20">
        <f t="shared" si="0"/>
        <v>38</v>
      </c>
      <c r="T20" t="str">
        <f t="shared" si="2"/>
        <v>Reorder Required</v>
      </c>
    </row>
    <row r="21" spans="1:20" x14ac:dyDescent="0.3">
      <c r="A21" t="s">
        <v>121</v>
      </c>
      <c r="B21" t="s">
        <v>83</v>
      </c>
      <c r="C21" t="s">
        <v>22</v>
      </c>
      <c r="D21" t="s">
        <v>122</v>
      </c>
      <c r="E21" t="s">
        <v>123</v>
      </c>
      <c r="F21">
        <v>65</v>
      </c>
      <c r="G21">
        <v>61</v>
      </c>
      <c r="H21">
        <v>82</v>
      </c>
      <c r="I21" s="1">
        <v>2</v>
      </c>
      <c r="J21" s="2">
        <v>45443</v>
      </c>
      <c r="K21" s="2">
        <v>45696</v>
      </c>
      <c r="L21" s="2">
        <v>45654</v>
      </c>
      <c r="M21" t="s">
        <v>124</v>
      </c>
      <c r="N21">
        <v>29</v>
      </c>
      <c r="O21">
        <v>11</v>
      </c>
      <c r="P21" t="s">
        <v>38</v>
      </c>
      <c r="Q21" t="str">
        <f t="shared" si="3"/>
        <v>OK</v>
      </c>
      <c r="R21" s="3">
        <f t="shared" si="1"/>
        <v>130</v>
      </c>
      <c r="S21">
        <f t="shared" si="0"/>
        <v>0</v>
      </c>
      <c r="T21" t="str">
        <f t="shared" si="2"/>
        <v>Sufficient Stock</v>
      </c>
    </row>
    <row r="22" spans="1:20" x14ac:dyDescent="0.3">
      <c r="A22" t="s">
        <v>125</v>
      </c>
      <c r="B22" t="s">
        <v>126</v>
      </c>
      <c r="C22" t="s">
        <v>47</v>
      </c>
      <c r="D22" t="s">
        <v>127</v>
      </c>
      <c r="E22" t="s">
        <v>128</v>
      </c>
      <c r="F22">
        <v>72</v>
      </c>
      <c r="G22">
        <v>70</v>
      </c>
      <c r="H22">
        <v>99</v>
      </c>
      <c r="I22" s="1">
        <v>2.5</v>
      </c>
      <c r="J22" s="2">
        <v>45572</v>
      </c>
      <c r="K22" s="2">
        <v>45440</v>
      </c>
      <c r="L22" s="2">
        <v>45465</v>
      </c>
      <c r="M22" t="s">
        <v>129</v>
      </c>
      <c r="N22">
        <v>82</v>
      </c>
      <c r="O22">
        <v>32</v>
      </c>
      <c r="P22" t="s">
        <v>26</v>
      </c>
      <c r="Q22" t="str">
        <f t="shared" si="3"/>
        <v>Expiry before Received</v>
      </c>
      <c r="R22" s="3">
        <f t="shared" si="1"/>
        <v>180</v>
      </c>
      <c r="S22">
        <f t="shared" si="0"/>
        <v>0</v>
      </c>
      <c r="T22" t="str">
        <f t="shared" si="2"/>
        <v>Sufficient Stock</v>
      </c>
    </row>
    <row r="23" spans="1:20" x14ac:dyDescent="0.3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>
        <v>49</v>
      </c>
      <c r="G23">
        <v>73</v>
      </c>
      <c r="H23">
        <v>48</v>
      </c>
      <c r="I23" s="1">
        <v>12</v>
      </c>
      <c r="J23" s="2">
        <v>45521</v>
      </c>
      <c r="K23" s="2">
        <v>45566</v>
      </c>
      <c r="L23" s="2">
        <v>45538</v>
      </c>
      <c r="M23" t="s">
        <v>135</v>
      </c>
      <c r="N23">
        <v>52</v>
      </c>
      <c r="O23">
        <v>62</v>
      </c>
      <c r="P23" t="s">
        <v>44</v>
      </c>
      <c r="Q23" t="str">
        <f t="shared" si="3"/>
        <v>OK</v>
      </c>
      <c r="R23" s="3">
        <f t="shared" si="1"/>
        <v>588</v>
      </c>
      <c r="S23">
        <f t="shared" si="0"/>
        <v>24</v>
      </c>
      <c r="T23" t="str">
        <f t="shared" si="2"/>
        <v>Reorder Required</v>
      </c>
    </row>
    <row r="24" spans="1:20" x14ac:dyDescent="0.3">
      <c r="A24" t="s">
        <v>136</v>
      </c>
      <c r="B24" t="s">
        <v>137</v>
      </c>
      <c r="C24" t="s">
        <v>47</v>
      </c>
      <c r="D24" t="s">
        <v>138</v>
      </c>
      <c r="E24" t="s">
        <v>139</v>
      </c>
      <c r="F24">
        <v>81</v>
      </c>
      <c r="G24">
        <v>99</v>
      </c>
      <c r="H24">
        <v>28</v>
      </c>
      <c r="I24" s="1">
        <v>2</v>
      </c>
      <c r="J24" s="2">
        <v>45565</v>
      </c>
      <c r="K24" s="2">
        <v>45702</v>
      </c>
      <c r="L24" s="2">
        <v>45407</v>
      </c>
      <c r="M24" t="s">
        <v>140</v>
      </c>
      <c r="N24">
        <v>20</v>
      </c>
      <c r="O24">
        <v>85</v>
      </c>
      <c r="P24" t="s">
        <v>26</v>
      </c>
      <c r="Q24" t="str">
        <f t="shared" si="3"/>
        <v>Expiry before Received</v>
      </c>
      <c r="R24" s="3">
        <f t="shared" si="1"/>
        <v>162</v>
      </c>
      <c r="S24">
        <f t="shared" si="0"/>
        <v>18</v>
      </c>
      <c r="T24" t="str">
        <f t="shared" si="2"/>
        <v>Reorder Required</v>
      </c>
    </row>
    <row r="25" spans="1:20" x14ac:dyDescent="0.3">
      <c r="A25" t="s">
        <v>141</v>
      </c>
      <c r="B25" t="s">
        <v>142</v>
      </c>
      <c r="C25" t="s">
        <v>47</v>
      </c>
      <c r="D25" t="s">
        <v>143</v>
      </c>
      <c r="E25" t="s">
        <v>144</v>
      </c>
      <c r="F25">
        <v>88</v>
      </c>
      <c r="G25">
        <v>46</v>
      </c>
      <c r="H25">
        <v>55</v>
      </c>
      <c r="I25" s="1">
        <v>1</v>
      </c>
      <c r="J25" s="2">
        <v>45391</v>
      </c>
      <c r="K25" s="2">
        <v>45357</v>
      </c>
      <c r="L25" s="2">
        <v>45516</v>
      </c>
      <c r="M25" t="s">
        <v>145</v>
      </c>
      <c r="N25">
        <v>73</v>
      </c>
      <c r="O25">
        <v>63</v>
      </c>
      <c r="P25" t="s">
        <v>44</v>
      </c>
      <c r="Q25" t="str">
        <f t="shared" si="3"/>
        <v>Last Order before Received</v>
      </c>
      <c r="R25" s="3">
        <f t="shared" si="1"/>
        <v>88</v>
      </c>
      <c r="S25">
        <f t="shared" si="0"/>
        <v>0</v>
      </c>
      <c r="T25" t="str">
        <f t="shared" si="2"/>
        <v>Sufficient Stock</v>
      </c>
    </row>
    <row r="26" spans="1:20" x14ac:dyDescent="0.3">
      <c r="A26" t="s">
        <v>146</v>
      </c>
      <c r="B26" t="s">
        <v>147</v>
      </c>
      <c r="C26" t="s">
        <v>64</v>
      </c>
      <c r="D26" t="s">
        <v>148</v>
      </c>
      <c r="E26" t="s">
        <v>149</v>
      </c>
      <c r="F26">
        <v>63</v>
      </c>
      <c r="G26">
        <v>4</v>
      </c>
      <c r="H26">
        <v>85</v>
      </c>
      <c r="I26" s="1">
        <v>12</v>
      </c>
      <c r="J26" s="2">
        <v>45647</v>
      </c>
      <c r="K26" s="2">
        <v>45670</v>
      </c>
      <c r="L26" s="2">
        <v>45565</v>
      </c>
      <c r="M26" t="s">
        <v>150</v>
      </c>
      <c r="N26">
        <v>59</v>
      </c>
      <c r="O26">
        <v>71</v>
      </c>
      <c r="P26" t="s">
        <v>44</v>
      </c>
      <c r="Q26" t="str">
        <f t="shared" si="3"/>
        <v>Expiry before Received</v>
      </c>
      <c r="R26" s="3">
        <f t="shared" si="1"/>
        <v>756</v>
      </c>
      <c r="S26">
        <f t="shared" si="0"/>
        <v>0</v>
      </c>
      <c r="T26" t="str">
        <f t="shared" si="2"/>
        <v>Sufficient Stock</v>
      </c>
    </row>
    <row r="27" spans="1:20" x14ac:dyDescent="0.3">
      <c r="A27" t="s">
        <v>151</v>
      </c>
      <c r="B27" t="s">
        <v>152</v>
      </c>
      <c r="C27" t="s">
        <v>22</v>
      </c>
      <c r="D27" t="s">
        <v>153</v>
      </c>
      <c r="E27" t="s">
        <v>154</v>
      </c>
      <c r="F27">
        <v>31</v>
      </c>
      <c r="G27">
        <v>43</v>
      </c>
      <c r="H27">
        <v>80</v>
      </c>
      <c r="I27" s="1">
        <v>1.5</v>
      </c>
      <c r="J27" s="2">
        <v>45440</v>
      </c>
      <c r="K27" s="2">
        <v>45710</v>
      </c>
      <c r="L27" s="2">
        <v>45442</v>
      </c>
      <c r="M27" t="s">
        <v>155</v>
      </c>
      <c r="N27">
        <v>46</v>
      </c>
      <c r="O27">
        <v>78</v>
      </c>
      <c r="P27" t="s">
        <v>38</v>
      </c>
      <c r="Q27" t="str">
        <f t="shared" si="3"/>
        <v>OK</v>
      </c>
      <c r="R27" s="3">
        <f t="shared" si="1"/>
        <v>46.5</v>
      </c>
      <c r="S27">
        <f t="shared" si="0"/>
        <v>12</v>
      </c>
      <c r="T27" t="str">
        <f t="shared" si="2"/>
        <v>Reorder Required</v>
      </c>
    </row>
    <row r="28" spans="1:20" x14ac:dyDescent="0.3">
      <c r="A28" t="s">
        <v>156</v>
      </c>
      <c r="B28" t="s">
        <v>157</v>
      </c>
      <c r="C28" t="s">
        <v>64</v>
      </c>
      <c r="D28" t="s">
        <v>158</v>
      </c>
      <c r="E28" t="s">
        <v>159</v>
      </c>
      <c r="F28">
        <v>97</v>
      </c>
      <c r="G28">
        <v>88</v>
      </c>
      <c r="H28">
        <v>81</v>
      </c>
      <c r="I28" s="1">
        <v>0.8</v>
      </c>
      <c r="J28" s="2">
        <v>45601</v>
      </c>
      <c r="K28" s="2">
        <v>45480</v>
      </c>
      <c r="L28" s="2">
        <v>45469</v>
      </c>
      <c r="M28" t="s">
        <v>160</v>
      </c>
      <c r="N28">
        <v>97</v>
      </c>
      <c r="O28">
        <v>18</v>
      </c>
      <c r="P28" t="s">
        <v>26</v>
      </c>
      <c r="Q28" t="str">
        <f t="shared" si="3"/>
        <v>Expiry before Received</v>
      </c>
      <c r="R28" s="3">
        <f t="shared" si="1"/>
        <v>77.600000000000009</v>
      </c>
      <c r="S28">
        <f t="shared" si="0"/>
        <v>0</v>
      </c>
      <c r="T28" t="str">
        <f t="shared" si="2"/>
        <v>Sufficient Stock</v>
      </c>
    </row>
    <row r="29" spans="1:20" x14ac:dyDescent="0.3">
      <c r="A29" t="s">
        <v>161</v>
      </c>
      <c r="B29" t="s">
        <v>162</v>
      </c>
      <c r="C29" t="s">
        <v>47</v>
      </c>
      <c r="D29" t="s">
        <v>163</v>
      </c>
      <c r="E29" t="s">
        <v>164</v>
      </c>
      <c r="F29">
        <v>72</v>
      </c>
      <c r="G29">
        <v>87</v>
      </c>
      <c r="H29">
        <v>39</v>
      </c>
      <c r="I29" s="1">
        <v>6</v>
      </c>
      <c r="J29" s="2">
        <v>45467</v>
      </c>
      <c r="K29" s="2">
        <v>45712</v>
      </c>
      <c r="L29" s="2">
        <v>45368</v>
      </c>
      <c r="M29" t="s">
        <v>165</v>
      </c>
      <c r="N29">
        <v>94</v>
      </c>
      <c r="O29">
        <v>57</v>
      </c>
      <c r="P29" t="s">
        <v>44</v>
      </c>
      <c r="Q29" t="str">
        <f t="shared" si="3"/>
        <v>Expiry before Received</v>
      </c>
      <c r="R29" s="3">
        <f t="shared" si="1"/>
        <v>432</v>
      </c>
      <c r="S29">
        <f t="shared" si="0"/>
        <v>15</v>
      </c>
      <c r="T29" t="str">
        <f t="shared" si="2"/>
        <v>Reorder Required</v>
      </c>
    </row>
    <row r="30" spans="1:20" x14ac:dyDescent="0.3">
      <c r="A30" t="s">
        <v>166</v>
      </c>
      <c r="B30" t="s">
        <v>167</v>
      </c>
      <c r="C30" t="s">
        <v>89</v>
      </c>
      <c r="D30" t="s">
        <v>168</v>
      </c>
      <c r="E30" t="s">
        <v>139</v>
      </c>
      <c r="F30">
        <v>16</v>
      </c>
      <c r="G30">
        <v>9</v>
      </c>
      <c r="H30">
        <v>32</v>
      </c>
      <c r="I30" s="1">
        <v>5</v>
      </c>
      <c r="J30" s="2">
        <v>45489</v>
      </c>
      <c r="K30" s="2">
        <v>45525</v>
      </c>
      <c r="L30" s="2">
        <v>45695</v>
      </c>
      <c r="M30" t="s">
        <v>169</v>
      </c>
      <c r="N30">
        <v>50</v>
      </c>
      <c r="O30">
        <v>98</v>
      </c>
      <c r="P30" t="s">
        <v>38</v>
      </c>
      <c r="Q30" t="str">
        <f t="shared" si="3"/>
        <v>OK</v>
      </c>
      <c r="R30" s="3">
        <f t="shared" si="1"/>
        <v>80</v>
      </c>
      <c r="S30">
        <f t="shared" si="0"/>
        <v>0</v>
      </c>
      <c r="T30" t="str">
        <f t="shared" si="2"/>
        <v>Sufficient Stock</v>
      </c>
    </row>
    <row r="31" spans="1:20" x14ac:dyDescent="0.3">
      <c r="A31" t="s">
        <v>170</v>
      </c>
      <c r="B31" t="s">
        <v>171</v>
      </c>
      <c r="C31" t="s">
        <v>47</v>
      </c>
      <c r="D31" t="s">
        <v>172</v>
      </c>
      <c r="E31" t="s">
        <v>173</v>
      </c>
      <c r="F31">
        <v>77</v>
      </c>
      <c r="G31">
        <v>20</v>
      </c>
      <c r="H31">
        <v>5</v>
      </c>
      <c r="I31" s="1">
        <v>4.5</v>
      </c>
      <c r="J31" s="2">
        <v>45522</v>
      </c>
      <c r="K31" s="2">
        <v>45615</v>
      </c>
      <c r="L31" s="2">
        <v>45646</v>
      </c>
      <c r="M31" t="s">
        <v>174</v>
      </c>
      <c r="N31">
        <v>61</v>
      </c>
      <c r="O31">
        <v>62</v>
      </c>
      <c r="P31" t="s">
        <v>26</v>
      </c>
      <c r="Q31" t="str">
        <f t="shared" si="3"/>
        <v>OK</v>
      </c>
      <c r="R31" s="3">
        <f t="shared" si="1"/>
        <v>346.5</v>
      </c>
      <c r="S31">
        <f t="shared" si="0"/>
        <v>0</v>
      </c>
      <c r="T31" t="str">
        <f t="shared" si="2"/>
        <v>Sufficient Stock</v>
      </c>
    </row>
    <row r="32" spans="1:20" x14ac:dyDescent="0.3">
      <c r="A32" t="s">
        <v>175</v>
      </c>
      <c r="B32" t="s">
        <v>176</v>
      </c>
      <c r="C32" t="s">
        <v>47</v>
      </c>
      <c r="D32" t="s">
        <v>177</v>
      </c>
      <c r="E32" t="s">
        <v>178</v>
      </c>
      <c r="F32">
        <v>19</v>
      </c>
      <c r="G32">
        <v>36</v>
      </c>
      <c r="H32">
        <v>72</v>
      </c>
      <c r="I32" s="1">
        <v>1.75</v>
      </c>
      <c r="J32" s="2">
        <v>45415</v>
      </c>
      <c r="K32" s="2">
        <v>45379</v>
      </c>
      <c r="L32" s="2">
        <v>45357</v>
      </c>
      <c r="M32" t="s">
        <v>179</v>
      </c>
      <c r="N32">
        <v>31</v>
      </c>
      <c r="O32">
        <v>81</v>
      </c>
      <c r="P32" t="s">
        <v>38</v>
      </c>
      <c r="Q32" t="str">
        <f t="shared" si="3"/>
        <v>Expiry before Received</v>
      </c>
      <c r="R32" s="3">
        <f t="shared" si="1"/>
        <v>33.25</v>
      </c>
      <c r="S32">
        <f t="shared" si="0"/>
        <v>17</v>
      </c>
      <c r="T32" t="str">
        <f t="shared" si="2"/>
        <v>Reorder Required</v>
      </c>
    </row>
    <row r="33" spans="1:20" x14ac:dyDescent="0.3">
      <c r="A33" t="s">
        <v>180</v>
      </c>
      <c r="B33" t="s">
        <v>181</v>
      </c>
      <c r="C33" t="s">
        <v>47</v>
      </c>
      <c r="D33" t="s">
        <v>182</v>
      </c>
      <c r="E33" t="s">
        <v>183</v>
      </c>
      <c r="F33">
        <v>18</v>
      </c>
      <c r="G33">
        <v>52</v>
      </c>
      <c r="H33">
        <v>22</v>
      </c>
      <c r="I33" s="1">
        <v>3.5</v>
      </c>
      <c r="J33" s="2">
        <v>45527</v>
      </c>
      <c r="K33" s="2">
        <v>45578</v>
      </c>
      <c r="L33" s="2">
        <v>45563</v>
      </c>
      <c r="M33" t="s">
        <v>184</v>
      </c>
      <c r="N33">
        <v>42</v>
      </c>
      <c r="O33">
        <v>32</v>
      </c>
      <c r="P33" t="s">
        <v>38</v>
      </c>
      <c r="Q33" t="str">
        <f t="shared" si="3"/>
        <v>OK</v>
      </c>
      <c r="R33" s="3">
        <f t="shared" si="1"/>
        <v>63</v>
      </c>
      <c r="S33">
        <f t="shared" si="0"/>
        <v>34</v>
      </c>
      <c r="T33" t="str">
        <f t="shared" si="2"/>
        <v>Reorder Required</v>
      </c>
    </row>
    <row r="34" spans="1:20" x14ac:dyDescent="0.3">
      <c r="A34" t="s">
        <v>185</v>
      </c>
      <c r="B34" t="s">
        <v>186</v>
      </c>
      <c r="C34" t="s">
        <v>58</v>
      </c>
      <c r="D34" t="s">
        <v>187</v>
      </c>
      <c r="E34" t="s">
        <v>188</v>
      </c>
      <c r="F34">
        <v>47</v>
      </c>
      <c r="G34">
        <v>48</v>
      </c>
      <c r="H34">
        <v>73</v>
      </c>
      <c r="I34" s="1">
        <v>6</v>
      </c>
      <c r="J34" s="2">
        <v>45517</v>
      </c>
      <c r="K34" s="2">
        <v>45471</v>
      </c>
      <c r="L34" s="2">
        <v>45356</v>
      </c>
      <c r="M34" t="s">
        <v>189</v>
      </c>
      <c r="N34">
        <v>42</v>
      </c>
      <c r="O34">
        <v>51</v>
      </c>
      <c r="P34" t="s">
        <v>26</v>
      </c>
      <c r="Q34" t="str">
        <f t="shared" si="3"/>
        <v>Expiry before Received</v>
      </c>
      <c r="R34" s="3">
        <f t="shared" si="1"/>
        <v>282</v>
      </c>
      <c r="S34">
        <f t="shared" si="0"/>
        <v>1</v>
      </c>
      <c r="T34" t="str">
        <f t="shared" si="2"/>
        <v>Reorder Required</v>
      </c>
    </row>
    <row r="35" spans="1:20" x14ac:dyDescent="0.3">
      <c r="A35" t="s">
        <v>190</v>
      </c>
      <c r="B35" t="s">
        <v>191</v>
      </c>
      <c r="C35" t="s">
        <v>29</v>
      </c>
      <c r="D35" t="s">
        <v>192</v>
      </c>
      <c r="E35" t="s">
        <v>193</v>
      </c>
      <c r="F35">
        <v>77</v>
      </c>
      <c r="G35">
        <v>45</v>
      </c>
      <c r="H35">
        <v>75</v>
      </c>
      <c r="I35" s="1">
        <v>30</v>
      </c>
      <c r="J35" s="2">
        <v>45601</v>
      </c>
      <c r="K35" s="2">
        <v>45523</v>
      </c>
      <c r="L35" s="2">
        <v>45466</v>
      </c>
      <c r="M35" t="s">
        <v>194</v>
      </c>
      <c r="N35">
        <v>25</v>
      </c>
      <c r="O35">
        <v>37</v>
      </c>
      <c r="P35" t="s">
        <v>26</v>
      </c>
      <c r="Q35" t="str">
        <f t="shared" si="3"/>
        <v>Expiry before Received</v>
      </c>
      <c r="R35" s="3">
        <f t="shared" si="1"/>
        <v>2310</v>
      </c>
      <c r="S35">
        <f t="shared" si="0"/>
        <v>0</v>
      </c>
      <c r="T35" t="str">
        <f t="shared" si="2"/>
        <v>Sufficient Stock</v>
      </c>
    </row>
    <row r="36" spans="1:20" x14ac:dyDescent="0.3">
      <c r="A36" t="s">
        <v>195</v>
      </c>
      <c r="B36" t="s">
        <v>196</v>
      </c>
      <c r="C36" t="s">
        <v>132</v>
      </c>
      <c r="D36" t="s">
        <v>197</v>
      </c>
      <c r="E36" t="s">
        <v>198</v>
      </c>
      <c r="F36">
        <v>46</v>
      </c>
      <c r="G36">
        <v>28</v>
      </c>
      <c r="H36">
        <v>73</v>
      </c>
      <c r="I36" s="1">
        <v>9</v>
      </c>
      <c r="J36" s="2">
        <v>45440</v>
      </c>
      <c r="K36" s="2">
        <v>45593</v>
      </c>
      <c r="L36" s="2">
        <v>45652</v>
      </c>
      <c r="M36" t="s">
        <v>199</v>
      </c>
      <c r="N36">
        <v>65</v>
      </c>
      <c r="O36">
        <v>57</v>
      </c>
      <c r="P36" t="s">
        <v>26</v>
      </c>
      <c r="Q36" t="str">
        <f t="shared" si="3"/>
        <v>OK</v>
      </c>
      <c r="R36" s="3">
        <f t="shared" si="1"/>
        <v>414</v>
      </c>
      <c r="S36">
        <f t="shared" si="0"/>
        <v>0</v>
      </c>
      <c r="T36" t="str">
        <f t="shared" si="2"/>
        <v>Sufficient Stock</v>
      </c>
    </row>
    <row r="37" spans="1:20" x14ac:dyDescent="0.3">
      <c r="A37" t="s">
        <v>200</v>
      </c>
      <c r="B37" t="s">
        <v>201</v>
      </c>
      <c r="C37" t="s">
        <v>47</v>
      </c>
      <c r="D37" t="s">
        <v>202</v>
      </c>
      <c r="E37" t="s">
        <v>203</v>
      </c>
      <c r="F37">
        <v>39</v>
      </c>
      <c r="G37">
        <v>22</v>
      </c>
      <c r="H37">
        <v>73</v>
      </c>
      <c r="I37" s="1">
        <v>2</v>
      </c>
      <c r="J37" s="2">
        <v>45454</v>
      </c>
      <c r="K37" s="2">
        <v>45496</v>
      </c>
      <c r="L37" s="2">
        <v>45593</v>
      </c>
      <c r="M37" t="s">
        <v>204</v>
      </c>
      <c r="N37">
        <v>60</v>
      </c>
      <c r="O37">
        <v>2</v>
      </c>
      <c r="P37" t="s">
        <v>44</v>
      </c>
      <c r="Q37" t="str">
        <f t="shared" si="3"/>
        <v>OK</v>
      </c>
      <c r="R37" s="3">
        <f t="shared" si="1"/>
        <v>78</v>
      </c>
      <c r="S37">
        <f t="shared" si="0"/>
        <v>0</v>
      </c>
      <c r="T37" t="str">
        <f t="shared" si="2"/>
        <v>Sufficient Stock</v>
      </c>
    </row>
    <row r="38" spans="1:20" x14ac:dyDescent="0.3">
      <c r="A38" t="s">
        <v>205</v>
      </c>
      <c r="B38" t="s">
        <v>21</v>
      </c>
      <c r="C38" t="s">
        <v>22</v>
      </c>
      <c r="D38" t="s">
        <v>206</v>
      </c>
      <c r="E38" t="s">
        <v>207</v>
      </c>
      <c r="F38">
        <v>75</v>
      </c>
      <c r="G38">
        <v>69</v>
      </c>
      <c r="H38">
        <v>100</v>
      </c>
      <c r="I38" s="1">
        <v>4.5</v>
      </c>
      <c r="J38" s="2">
        <v>45484</v>
      </c>
      <c r="K38" s="2">
        <v>45676</v>
      </c>
      <c r="L38" s="2">
        <v>45704</v>
      </c>
      <c r="M38" t="s">
        <v>208</v>
      </c>
      <c r="N38">
        <v>43</v>
      </c>
      <c r="O38">
        <v>18</v>
      </c>
      <c r="P38" t="s">
        <v>38</v>
      </c>
      <c r="Q38" t="str">
        <f t="shared" si="3"/>
        <v>OK</v>
      </c>
      <c r="R38" s="3">
        <f t="shared" si="1"/>
        <v>337.5</v>
      </c>
      <c r="S38">
        <f t="shared" si="0"/>
        <v>0</v>
      </c>
      <c r="T38" t="str">
        <f t="shared" si="2"/>
        <v>Sufficient Stock</v>
      </c>
    </row>
    <row r="39" spans="1:20" x14ac:dyDescent="0.3">
      <c r="A39" t="s">
        <v>209</v>
      </c>
      <c r="B39" t="s">
        <v>181</v>
      </c>
      <c r="C39" t="s">
        <v>47</v>
      </c>
      <c r="D39" t="s">
        <v>210</v>
      </c>
      <c r="E39" t="s">
        <v>211</v>
      </c>
      <c r="F39">
        <v>48</v>
      </c>
      <c r="G39">
        <v>48</v>
      </c>
      <c r="H39">
        <v>39</v>
      </c>
      <c r="I39" s="1">
        <v>3.45</v>
      </c>
      <c r="J39" s="2">
        <v>45368</v>
      </c>
      <c r="K39" s="2">
        <v>45682</v>
      </c>
      <c r="L39" s="2">
        <v>45595</v>
      </c>
      <c r="M39" t="s">
        <v>212</v>
      </c>
      <c r="N39">
        <v>51</v>
      </c>
      <c r="O39">
        <v>50</v>
      </c>
      <c r="P39" t="s">
        <v>26</v>
      </c>
      <c r="Q39" t="str">
        <f t="shared" si="3"/>
        <v>OK</v>
      </c>
      <c r="R39" s="3">
        <f t="shared" si="1"/>
        <v>165.60000000000002</v>
      </c>
      <c r="S39">
        <f t="shared" si="0"/>
        <v>0</v>
      </c>
      <c r="T39" t="str">
        <f t="shared" si="2"/>
        <v>Sufficient Stock</v>
      </c>
    </row>
    <row r="40" spans="1:20" x14ac:dyDescent="0.3">
      <c r="A40" t="s">
        <v>213</v>
      </c>
      <c r="B40" t="s">
        <v>214</v>
      </c>
      <c r="C40" t="s">
        <v>47</v>
      </c>
      <c r="D40" t="s">
        <v>215</v>
      </c>
      <c r="E40" t="s">
        <v>216</v>
      </c>
      <c r="F40">
        <v>61</v>
      </c>
      <c r="G40">
        <v>90</v>
      </c>
      <c r="H40">
        <v>26</v>
      </c>
      <c r="I40" s="1">
        <v>2.5</v>
      </c>
      <c r="J40" s="2">
        <v>45648</v>
      </c>
      <c r="K40" s="2">
        <v>45542</v>
      </c>
      <c r="L40" s="2">
        <v>45554</v>
      </c>
      <c r="M40" t="s">
        <v>217</v>
      </c>
      <c r="N40">
        <v>79</v>
      </c>
      <c r="O40">
        <v>84</v>
      </c>
      <c r="P40" t="s">
        <v>26</v>
      </c>
      <c r="Q40" t="str">
        <f t="shared" si="3"/>
        <v>Expiry before Received</v>
      </c>
      <c r="R40" s="3">
        <f t="shared" si="1"/>
        <v>152.5</v>
      </c>
      <c r="S40">
        <f t="shared" si="0"/>
        <v>29</v>
      </c>
      <c r="T40" t="str">
        <f t="shared" si="2"/>
        <v>Reorder Required</v>
      </c>
    </row>
    <row r="41" spans="1:20" x14ac:dyDescent="0.3">
      <c r="A41" t="s">
        <v>218</v>
      </c>
      <c r="B41" t="s">
        <v>219</v>
      </c>
      <c r="C41" t="s">
        <v>22</v>
      </c>
      <c r="D41" t="s">
        <v>220</v>
      </c>
      <c r="E41" t="s">
        <v>221</v>
      </c>
      <c r="F41">
        <v>60</v>
      </c>
      <c r="G41">
        <v>90</v>
      </c>
      <c r="H41">
        <v>85</v>
      </c>
      <c r="I41" s="1">
        <v>3</v>
      </c>
      <c r="J41" s="2">
        <v>45678</v>
      </c>
      <c r="K41" s="2">
        <v>45371</v>
      </c>
      <c r="L41" s="2">
        <v>45528</v>
      </c>
      <c r="M41" t="s">
        <v>222</v>
      </c>
      <c r="N41">
        <v>47</v>
      </c>
      <c r="O41">
        <v>9</v>
      </c>
      <c r="P41" t="s">
        <v>26</v>
      </c>
      <c r="Q41" t="str">
        <f t="shared" si="3"/>
        <v>Expiry before Received</v>
      </c>
      <c r="R41" s="3">
        <f t="shared" si="1"/>
        <v>180</v>
      </c>
      <c r="S41">
        <f t="shared" si="0"/>
        <v>30</v>
      </c>
      <c r="T41" t="str">
        <f t="shared" si="2"/>
        <v>Reorder Required</v>
      </c>
    </row>
    <row r="42" spans="1:20" x14ac:dyDescent="0.3">
      <c r="A42" t="s">
        <v>223</v>
      </c>
      <c r="B42" t="s">
        <v>224</v>
      </c>
      <c r="C42" t="s">
        <v>47</v>
      </c>
      <c r="D42" t="s">
        <v>225</v>
      </c>
      <c r="E42" t="s">
        <v>226</v>
      </c>
      <c r="F42">
        <v>24</v>
      </c>
      <c r="G42">
        <v>55</v>
      </c>
      <c r="H42">
        <v>51</v>
      </c>
      <c r="I42" s="1">
        <v>5</v>
      </c>
      <c r="J42" s="2">
        <v>45408</v>
      </c>
      <c r="K42" s="2">
        <v>45712</v>
      </c>
      <c r="L42" s="2">
        <v>45621</v>
      </c>
      <c r="M42" t="s">
        <v>227</v>
      </c>
      <c r="N42">
        <v>39</v>
      </c>
      <c r="O42">
        <v>15</v>
      </c>
      <c r="P42" t="s">
        <v>26</v>
      </c>
      <c r="Q42" t="str">
        <f t="shared" si="3"/>
        <v>OK</v>
      </c>
      <c r="R42" s="3">
        <f t="shared" si="1"/>
        <v>120</v>
      </c>
      <c r="S42">
        <f t="shared" si="0"/>
        <v>31</v>
      </c>
      <c r="T42" t="str">
        <f t="shared" si="2"/>
        <v>Reorder Required</v>
      </c>
    </row>
    <row r="43" spans="1:20" x14ac:dyDescent="0.3">
      <c r="A43" t="s">
        <v>228</v>
      </c>
      <c r="B43" t="s">
        <v>229</v>
      </c>
      <c r="C43" t="s">
        <v>47</v>
      </c>
      <c r="D43" t="s">
        <v>230</v>
      </c>
      <c r="E43" t="s">
        <v>231</v>
      </c>
      <c r="F43">
        <v>12</v>
      </c>
      <c r="G43">
        <v>7</v>
      </c>
      <c r="H43">
        <v>48</v>
      </c>
      <c r="I43" s="1">
        <v>2.2999999999999998</v>
      </c>
      <c r="J43" s="2">
        <v>45467</v>
      </c>
      <c r="K43" s="2">
        <v>45651</v>
      </c>
      <c r="L43" s="2">
        <v>45448</v>
      </c>
      <c r="M43" t="s">
        <v>232</v>
      </c>
      <c r="N43">
        <v>66</v>
      </c>
      <c r="O43">
        <v>4</v>
      </c>
      <c r="P43" t="s">
        <v>26</v>
      </c>
      <c r="Q43" t="str">
        <f t="shared" si="3"/>
        <v>Expiry before Received</v>
      </c>
      <c r="R43" s="3">
        <f t="shared" si="1"/>
        <v>27.599999999999998</v>
      </c>
      <c r="S43">
        <f t="shared" si="0"/>
        <v>0</v>
      </c>
      <c r="T43" t="str">
        <f t="shared" si="2"/>
        <v>Sufficient Stock</v>
      </c>
    </row>
    <row r="44" spans="1:20" x14ac:dyDescent="0.3">
      <c r="A44" t="s">
        <v>233</v>
      </c>
      <c r="B44" t="s">
        <v>234</v>
      </c>
      <c r="C44" t="s">
        <v>29</v>
      </c>
      <c r="D44" t="s">
        <v>235</v>
      </c>
      <c r="E44" t="s">
        <v>159</v>
      </c>
      <c r="F44">
        <v>84</v>
      </c>
      <c r="G44">
        <v>13</v>
      </c>
      <c r="H44">
        <v>88</v>
      </c>
      <c r="I44" s="1">
        <v>15</v>
      </c>
      <c r="J44" s="2">
        <v>45683</v>
      </c>
      <c r="K44" s="2">
        <v>45630</v>
      </c>
      <c r="L44" s="2">
        <v>45495</v>
      </c>
      <c r="M44" t="s">
        <v>236</v>
      </c>
      <c r="N44">
        <v>25</v>
      </c>
      <c r="O44">
        <v>34</v>
      </c>
      <c r="P44" t="s">
        <v>38</v>
      </c>
      <c r="Q44" t="str">
        <f t="shared" si="3"/>
        <v>Expiry before Received</v>
      </c>
      <c r="R44" s="3">
        <f t="shared" si="1"/>
        <v>1260</v>
      </c>
      <c r="S44">
        <f t="shared" si="0"/>
        <v>0</v>
      </c>
      <c r="T44" t="str">
        <f t="shared" si="2"/>
        <v>Sufficient Stock</v>
      </c>
    </row>
    <row r="45" spans="1:20" x14ac:dyDescent="0.3">
      <c r="A45" t="s">
        <v>237</v>
      </c>
      <c r="B45" t="s">
        <v>238</v>
      </c>
      <c r="C45" t="s">
        <v>64</v>
      </c>
      <c r="D45" t="s">
        <v>239</v>
      </c>
      <c r="E45" t="s">
        <v>240</v>
      </c>
      <c r="F45">
        <v>51</v>
      </c>
      <c r="G45">
        <v>100</v>
      </c>
      <c r="H45">
        <v>70</v>
      </c>
      <c r="I45" s="1">
        <v>3</v>
      </c>
      <c r="J45" s="2">
        <v>45412</v>
      </c>
      <c r="K45" s="2">
        <v>45586</v>
      </c>
      <c r="L45" s="2">
        <v>45557</v>
      </c>
      <c r="M45" t="s">
        <v>241</v>
      </c>
      <c r="N45">
        <v>40</v>
      </c>
      <c r="O45">
        <v>21</v>
      </c>
      <c r="P45" t="s">
        <v>26</v>
      </c>
      <c r="Q45" t="str">
        <f t="shared" si="3"/>
        <v>OK</v>
      </c>
      <c r="R45" s="3">
        <f t="shared" si="1"/>
        <v>153</v>
      </c>
      <c r="S45">
        <f t="shared" si="0"/>
        <v>49</v>
      </c>
      <c r="T45" t="str">
        <f t="shared" si="2"/>
        <v>Reorder Required</v>
      </c>
    </row>
    <row r="46" spans="1:20" x14ac:dyDescent="0.3">
      <c r="A46" t="s">
        <v>242</v>
      </c>
      <c r="B46" t="s">
        <v>243</v>
      </c>
      <c r="C46" t="s">
        <v>89</v>
      </c>
      <c r="D46" t="s">
        <v>244</v>
      </c>
      <c r="E46" t="s">
        <v>245</v>
      </c>
      <c r="F46">
        <v>65</v>
      </c>
      <c r="G46">
        <v>36</v>
      </c>
      <c r="H46">
        <v>37</v>
      </c>
      <c r="I46" s="1">
        <v>3.5</v>
      </c>
      <c r="J46" s="2">
        <v>45403</v>
      </c>
      <c r="K46" s="2">
        <v>45455</v>
      </c>
      <c r="L46" s="2">
        <v>45681</v>
      </c>
      <c r="M46" t="s">
        <v>246</v>
      </c>
      <c r="N46">
        <v>32</v>
      </c>
      <c r="O46">
        <v>70</v>
      </c>
      <c r="P46" t="s">
        <v>38</v>
      </c>
      <c r="Q46" t="str">
        <f t="shared" si="3"/>
        <v>OK</v>
      </c>
      <c r="R46" s="3">
        <f t="shared" si="1"/>
        <v>227.5</v>
      </c>
      <c r="S46">
        <f t="shared" si="0"/>
        <v>0</v>
      </c>
      <c r="T46" t="str">
        <f t="shared" si="2"/>
        <v>Sufficient Stock</v>
      </c>
    </row>
    <row r="47" spans="1:20" x14ac:dyDescent="0.3">
      <c r="A47" t="s">
        <v>247</v>
      </c>
      <c r="B47" t="s">
        <v>40</v>
      </c>
      <c r="C47" t="s">
        <v>22</v>
      </c>
      <c r="D47" t="s">
        <v>248</v>
      </c>
      <c r="E47" t="s">
        <v>249</v>
      </c>
      <c r="F47">
        <v>67</v>
      </c>
      <c r="G47">
        <v>88</v>
      </c>
      <c r="H47">
        <v>32</v>
      </c>
      <c r="I47" s="1">
        <v>1.5</v>
      </c>
      <c r="J47" s="2">
        <v>45388</v>
      </c>
      <c r="K47" s="2">
        <v>45413</v>
      </c>
      <c r="L47" s="2">
        <v>45613</v>
      </c>
      <c r="M47" t="s">
        <v>250</v>
      </c>
      <c r="N47">
        <v>66</v>
      </c>
      <c r="O47">
        <v>42</v>
      </c>
      <c r="P47" t="s">
        <v>26</v>
      </c>
      <c r="Q47" t="str">
        <f t="shared" si="3"/>
        <v>OK</v>
      </c>
      <c r="R47" s="3">
        <f t="shared" si="1"/>
        <v>100.5</v>
      </c>
      <c r="S47">
        <f t="shared" si="0"/>
        <v>21</v>
      </c>
      <c r="T47" t="str">
        <f t="shared" si="2"/>
        <v>Reorder Required</v>
      </c>
    </row>
    <row r="48" spans="1:20" x14ac:dyDescent="0.3">
      <c r="A48" t="s">
        <v>251</v>
      </c>
      <c r="B48" t="s">
        <v>108</v>
      </c>
      <c r="C48" t="s">
        <v>22</v>
      </c>
      <c r="D48" t="s">
        <v>252</v>
      </c>
      <c r="E48" t="s">
        <v>253</v>
      </c>
      <c r="F48">
        <v>14</v>
      </c>
      <c r="G48">
        <v>74</v>
      </c>
      <c r="H48">
        <v>71</v>
      </c>
      <c r="I48" s="1">
        <v>1.5</v>
      </c>
      <c r="J48" s="2">
        <v>45522</v>
      </c>
      <c r="K48" s="2">
        <v>45618</v>
      </c>
      <c r="L48" s="2">
        <v>45428</v>
      </c>
      <c r="M48" t="s">
        <v>254</v>
      </c>
      <c r="N48">
        <v>37</v>
      </c>
      <c r="O48">
        <v>22</v>
      </c>
      <c r="P48" t="s">
        <v>26</v>
      </c>
      <c r="Q48" t="str">
        <f t="shared" si="3"/>
        <v>Expiry before Received</v>
      </c>
      <c r="R48" s="3">
        <f t="shared" si="1"/>
        <v>21</v>
      </c>
      <c r="S48">
        <f t="shared" si="0"/>
        <v>60</v>
      </c>
      <c r="T48" t="str">
        <f t="shared" si="2"/>
        <v>Reorder Required</v>
      </c>
    </row>
    <row r="49" spans="1:20" x14ac:dyDescent="0.3">
      <c r="A49" t="s">
        <v>255</v>
      </c>
      <c r="B49" t="s">
        <v>256</v>
      </c>
      <c r="C49" t="s">
        <v>47</v>
      </c>
      <c r="D49" t="s">
        <v>257</v>
      </c>
      <c r="E49" t="s">
        <v>258</v>
      </c>
      <c r="F49">
        <v>45</v>
      </c>
      <c r="G49">
        <v>24</v>
      </c>
      <c r="H49">
        <v>61</v>
      </c>
      <c r="I49" s="1">
        <v>6</v>
      </c>
      <c r="J49" s="2">
        <v>45678</v>
      </c>
      <c r="K49" s="2">
        <v>45695</v>
      </c>
      <c r="L49" s="2">
        <v>45703</v>
      </c>
      <c r="M49" t="s">
        <v>259</v>
      </c>
      <c r="N49">
        <v>44</v>
      </c>
      <c r="O49">
        <v>34</v>
      </c>
      <c r="P49" t="s">
        <v>38</v>
      </c>
      <c r="Q49" t="str">
        <f t="shared" si="3"/>
        <v>OK</v>
      </c>
      <c r="R49" s="3">
        <f t="shared" si="1"/>
        <v>270</v>
      </c>
      <c r="S49">
        <f t="shared" si="0"/>
        <v>0</v>
      </c>
      <c r="T49" t="str">
        <f t="shared" si="2"/>
        <v>Sufficient Stock</v>
      </c>
    </row>
    <row r="50" spans="1:20" x14ac:dyDescent="0.3">
      <c r="A50" t="s">
        <v>260</v>
      </c>
      <c r="B50" t="s">
        <v>224</v>
      </c>
      <c r="C50" t="s">
        <v>47</v>
      </c>
      <c r="D50" t="s">
        <v>261</v>
      </c>
      <c r="E50" t="s">
        <v>262</v>
      </c>
      <c r="F50">
        <v>92</v>
      </c>
      <c r="G50">
        <v>46</v>
      </c>
      <c r="H50">
        <v>13</v>
      </c>
      <c r="I50" s="1">
        <v>5</v>
      </c>
      <c r="J50" s="2">
        <v>45501</v>
      </c>
      <c r="K50" s="2">
        <v>45583</v>
      </c>
      <c r="L50" s="2">
        <v>45377</v>
      </c>
      <c r="M50" t="s">
        <v>263</v>
      </c>
      <c r="N50">
        <v>24</v>
      </c>
      <c r="O50">
        <v>75</v>
      </c>
      <c r="P50" t="s">
        <v>26</v>
      </c>
      <c r="Q50" t="str">
        <f t="shared" si="3"/>
        <v>Expiry before Received</v>
      </c>
      <c r="R50" s="3">
        <f t="shared" si="1"/>
        <v>460</v>
      </c>
      <c r="S50">
        <f t="shared" si="0"/>
        <v>0</v>
      </c>
      <c r="T50" t="str">
        <f t="shared" si="2"/>
        <v>Sufficient Stock</v>
      </c>
    </row>
    <row r="51" spans="1:20" x14ac:dyDescent="0.3">
      <c r="A51" t="s">
        <v>264</v>
      </c>
      <c r="B51" t="s">
        <v>265</v>
      </c>
      <c r="C51" t="s">
        <v>89</v>
      </c>
      <c r="D51" t="s">
        <v>266</v>
      </c>
      <c r="E51" t="s">
        <v>267</v>
      </c>
      <c r="F51">
        <v>41</v>
      </c>
      <c r="G51">
        <v>84</v>
      </c>
      <c r="H51">
        <v>90</v>
      </c>
      <c r="I51" s="1">
        <v>4</v>
      </c>
      <c r="J51" s="2">
        <v>45685</v>
      </c>
      <c r="K51" s="2">
        <v>45624</v>
      </c>
      <c r="L51" s="2">
        <v>45608</v>
      </c>
      <c r="M51" t="s">
        <v>268</v>
      </c>
      <c r="N51">
        <v>42</v>
      </c>
      <c r="O51">
        <v>65</v>
      </c>
      <c r="P51" t="s">
        <v>44</v>
      </c>
      <c r="Q51" t="str">
        <f t="shared" si="3"/>
        <v>Expiry before Received</v>
      </c>
      <c r="R51" s="3">
        <f t="shared" si="1"/>
        <v>164</v>
      </c>
      <c r="S51">
        <f t="shared" si="0"/>
        <v>43</v>
      </c>
      <c r="T51" t="str">
        <f t="shared" si="2"/>
        <v>Reorder Required</v>
      </c>
    </row>
    <row r="52" spans="1:20" x14ac:dyDescent="0.3">
      <c r="A52" t="s">
        <v>269</v>
      </c>
      <c r="B52" t="s">
        <v>219</v>
      </c>
      <c r="C52" t="s">
        <v>22</v>
      </c>
      <c r="D52" t="s">
        <v>270</v>
      </c>
      <c r="E52" t="s">
        <v>271</v>
      </c>
      <c r="F52">
        <v>41</v>
      </c>
      <c r="G52">
        <v>36</v>
      </c>
      <c r="H52">
        <v>78</v>
      </c>
      <c r="I52" s="1">
        <v>4.5</v>
      </c>
      <c r="J52" s="2">
        <v>45477</v>
      </c>
      <c r="K52" s="2">
        <v>45569</v>
      </c>
      <c r="L52" s="2">
        <v>45427</v>
      </c>
      <c r="M52" t="s">
        <v>272</v>
      </c>
      <c r="N52">
        <v>38</v>
      </c>
      <c r="O52">
        <v>75</v>
      </c>
      <c r="P52" t="s">
        <v>38</v>
      </c>
      <c r="Q52" t="str">
        <f t="shared" si="3"/>
        <v>Expiry before Received</v>
      </c>
      <c r="R52" s="3">
        <f t="shared" si="1"/>
        <v>184.5</v>
      </c>
      <c r="S52">
        <f t="shared" si="0"/>
        <v>0</v>
      </c>
      <c r="T52" t="str">
        <f t="shared" si="2"/>
        <v>Sufficient Stock</v>
      </c>
    </row>
    <row r="53" spans="1:20" x14ac:dyDescent="0.3">
      <c r="A53" t="s">
        <v>273</v>
      </c>
      <c r="B53" t="s">
        <v>274</v>
      </c>
      <c r="C53" t="s">
        <v>47</v>
      </c>
      <c r="D53" t="s">
        <v>275</v>
      </c>
      <c r="E53" t="s">
        <v>128</v>
      </c>
      <c r="F53">
        <v>85</v>
      </c>
      <c r="G53">
        <v>45</v>
      </c>
      <c r="H53">
        <v>71</v>
      </c>
      <c r="I53" s="1">
        <v>3</v>
      </c>
      <c r="J53" s="2">
        <v>45371</v>
      </c>
      <c r="K53" s="2">
        <v>45654</v>
      </c>
      <c r="L53" s="2">
        <v>45690</v>
      </c>
      <c r="M53" t="s">
        <v>276</v>
      </c>
      <c r="N53">
        <v>95</v>
      </c>
      <c r="O53">
        <v>72</v>
      </c>
      <c r="P53" t="s">
        <v>26</v>
      </c>
      <c r="Q53" t="str">
        <f t="shared" si="3"/>
        <v>OK</v>
      </c>
      <c r="R53" s="3">
        <f t="shared" si="1"/>
        <v>255</v>
      </c>
      <c r="S53">
        <f t="shared" si="0"/>
        <v>0</v>
      </c>
      <c r="T53" t="str">
        <f t="shared" si="2"/>
        <v>Sufficient Stock</v>
      </c>
    </row>
    <row r="54" spans="1:20" x14ac:dyDescent="0.3">
      <c r="A54" t="s">
        <v>277</v>
      </c>
      <c r="B54" t="s">
        <v>181</v>
      </c>
      <c r="C54" t="s">
        <v>47</v>
      </c>
      <c r="D54" t="s">
        <v>278</v>
      </c>
      <c r="E54" t="s">
        <v>279</v>
      </c>
      <c r="F54">
        <v>44</v>
      </c>
      <c r="G54">
        <v>80</v>
      </c>
      <c r="H54">
        <v>84</v>
      </c>
      <c r="I54" s="1">
        <v>3.4</v>
      </c>
      <c r="J54" s="2">
        <v>45534</v>
      </c>
      <c r="K54" s="2">
        <v>45582</v>
      </c>
      <c r="L54" s="2">
        <v>45356</v>
      </c>
      <c r="M54" t="s">
        <v>280</v>
      </c>
      <c r="N54">
        <v>96</v>
      </c>
      <c r="O54">
        <v>68</v>
      </c>
      <c r="P54" t="s">
        <v>26</v>
      </c>
      <c r="Q54" t="str">
        <f t="shared" si="3"/>
        <v>Expiry before Received</v>
      </c>
      <c r="R54" s="3">
        <f t="shared" si="1"/>
        <v>149.6</v>
      </c>
      <c r="S54">
        <f t="shared" si="0"/>
        <v>36</v>
      </c>
      <c r="T54" t="str">
        <f t="shared" si="2"/>
        <v>Reorder Required</v>
      </c>
    </row>
    <row r="55" spans="1:20" x14ac:dyDescent="0.3">
      <c r="A55" t="s">
        <v>281</v>
      </c>
      <c r="B55" t="s">
        <v>282</v>
      </c>
      <c r="C55" t="s">
        <v>89</v>
      </c>
      <c r="D55" t="s">
        <v>283</v>
      </c>
      <c r="E55" t="s">
        <v>203</v>
      </c>
      <c r="F55">
        <v>92</v>
      </c>
      <c r="G55">
        <v>87</v>
      </c>
      <c r="H55">
        <v>84</v>
      </c>
      <c r="I55" s="1">
        <v>2.5</v>
      </c>
      <c r="J55" s="2">
        <v>45584</v>
      </c>
      <c r="K55" s="2">
        <v>45457</v>
      </c>
      <c r="L55" s="2">
        <v>45434</v>
      </c>
      <c r="M55" t="s">
        <v>284</v>
      </c>
      <c r="N55">
        <v>61</v>
      </c>
      <c r="O55">
        <v>31</v>
      </c>
      <c r="P55" t="s">
        <v>38</v>
      </c>
      <c r="Q55" t="str">
        <f t="shared" si="3"/>
        <v>Expiry before Received</v>
      </c>
      <c r="R55" s="3">
        <f t="shared" si="1"/>
        <v>230</v>
      </c>
      <c r="S55">
        <f t="shared" si="0"/>
        <v>0</v>
      </c>
      <c r="T55" t="str">
        <f t="shared" si="2"/>
        <v>Sufficient Stock</v>
      </c>
    </row>
    <row r="56" spans="1:20" x14ac:dyDescent="0.3">
      <c r="A56" t="s">
        <v>285</v>
      </c>
      <c r="B56" t="s">
        <v>286</v>
      </c>
      <c r="C56" t="s">
        <v>29</v>
      </c>
      <c r="D56" t="s">
        <v>287</v>
      </c>
      <c r="E56" t="s">
        <v>288</v>
      </c>
      <c r="F56">
        <v>62</v>
      </c>
      <c r="G56">
        <v>89</v>
      </c>
      <c r="H56">
        <v>18</v>
      </c>
      <c r="I56" s="1">
        <v>12</v>
      </c>
      <c r="J56" s="2">
        <v>45363</v>
      </c>
      <c r="K56" s="2">
        <v>45700</v>
      </c>
      <c r="L56" s="2">
        <v>45624</v>
      </c>
      <c r="M56" t="s">
        <v>289</v>
      </c>
      <c r="N56">
        <v>35</v>
      </c>
      <c r="O56">
        <v>36</v>
      </c>
      <c r="P56" t="s">
        <v>44</v>
      </c>
      <c r="Q56" t="str">
        <f t="shared" si="3"/>
        <v>OK</v>
      </c>
      <c r="R56" s="3">
        <f t="shared" si="1"/>
        <v>744</v>
      </c>
      <c r="S56">
        <f t="shared" si="0"/>
        <v>27</v>
      </c>
      <c r="T56" t="str">
        <f t="shared" si="2"/>
        <v>Reorder Required</v>
      </c>
    </row>
    <row r="57" spans="1:20" x14ac:dyDescent="0.3">
      <c r="A57" t="s">
        <v>290</v>
      </c>
      <c r="B57" t="s">
        <v>214</v>
      </c>
      <c r="C57" t="s">
        <v>47</v>
      </c>
      <c r="D57" t="s">
        <v>291</v>
      </c>
      <c r="E57" t="s">
        <v>178</v>
      </c>
      <c r="F57">
        <v>26</v>
      </c>
      <c r="G57">
        <v>18</v>
      </c>
      <c r="H57">
        <v>62</v>
      </c>
      <c r="I57" s="1">
        <v>2.5</v>
      </c>
      <c r="J57" s="2">
        <v>45501</v>
      </c>
      <c r="K57" s="2">
        <v>45494</v>
      </c>
      <c r="L57" s="2">
        <v>45690</v>
      </c>
      <c r="M57" t="s">
        <v>292</v>
      </c>
      <c r="N57">
        <v>57</v>
      </c>
      <c r="O57">
        <v>86</v>
      </c>
      <c r="P57" t="s">
        <v>26</v>
      </c>
      <c r="Q57" t="str">
        <f t="shared" si="3"/>
        <v>Last Order before Received</v>
      </c>
      <c r="R57" s="3">
        <f t="shared" si="1"/>
        <v>65</v>
      </c>
      <c r="S57">
        <f t="shared" si="0"/>
        <v>0</v>
      </c>
      <c r="T57" t="str">
        <f t="shared" si="2"/>
        <v>Sufficient Stock</v>
      </c>
    </row>
    <row r="58" spans="1:20" x14ac:dyDescent="0.3">
      <c r="A58" t="s">
        <v>293</v>
      </c>
      <c r="B58" t="s">
        <v>265</v>
      </c>
      <c r="C58" t="s">
        <v>89</v>
      </c>
      <c r="D58" t="s">
        <v>294</v>
      </c>
      <c r="E58" t="s">
        <v>295</v>
      </c>
      <c r="F58">
        <v>59</v>
      </c>
      <c r="G58">
        <v>78</v>
      </c>
      <c r="H58">
        <v>6</v>
      </c>
      <c r="I58" s="1">
        <v>4.5</v>
      </c>
      <c r="J58" s="2">
        <v>45599</v>
      </c>
      <c r="K58" s="2">
        <v>45453</v>
      </c>
      <c r="L58" s="2">
        <v>45622</v>
      </c>
      <c r="M58" t="s">
        <v>296</v>
      </c>
      <c r="N58">
        <v>32</v>
      </c>
      <c r="O58">
        <v>3</v>
      </c>
      <c r="P58" t="s">
        <v>44</v>
      </c>
      <c r="Q58" t="str">
        <f t="shared" si="3"/>
        <v>Last Order before Received</v>
      </c>
      <c r="R58" s="3">
        <f t="shared" si="1"/>
        <v>265.5</v>
      </c>
      <c r="S58">
        <f t="shared" si="0"/>
        <v>19</v>
      </c>
      <c r="T58" t="str">
        <f t="shared" si="2"/>
        <v>Reorder Required</v>
      </c>
    </row>
    <row r="59" spans="1:20" x14ac:dyDescent="0.3">
      <c r="A59" t="s">
        <v>297</v>
      </c>
      <c r="B59" t="s">
        <v>274</v>
      </c>
      <c r="C59" t="s">
        <v>47</v>
      </c>
      <c r="D59" t="s">
        <v>298</v>
      </c>
      <c r="E59" t="s">
        <v>299</v>
      </c>
      <c r="F59">
        <v>88</v>
      </c>
      <c r="G59">
        <v>37</v>
      </c>
      <c r="H59">
        <v>61</v>
      </c>
      <c r="I59" s="1">
        <v>2.9</v>
      </c>
      <c r="J59" s="2">
        <v>45691</v>
      </c>
      <c r="K59" s="2">
        <v>45609</v>
      </c>
      <c r="L59" s="2">
        <v>45370</v>
      </c>
      <c r="M59" t="s">
        <v>300</v>
      </c>
      <c r="N59">
        <v>63</v>
      </c>
      <c r="O59">
        <v>35</v>
      </c>
      <c r="P59" t="s">
        <v>26</v>
      </c>
      <c r="Q59" t="str">
        <f t="shared" si="3"/>
        <v>Expiry before Received</v>
      </c>
      <c r="R59" s="3">
        <f t="shared" si="1"/>
        <v>255.2</v>
      </c>
      <c r="S59">
        <f t="shared" si="0"/>
        <v>0</v>
      </c>
      <c r="T59" t="str">
        <f t="shared" si="2"/>
        <v>Sufficient Stock</v>
      </c>
    </row>
    <row r="60" spans="1:20" x14ac:dyDescent="0.3">
      <c r="A60" t="s">
        <v>301</v>
      </c>
      <c r="B60" t="s">
        <v>302</v>
      </c>
      <c r="C60" t="s">
        <v>132</v>
      </c>
      <c r="D60" t="s">
        <v>303</v>
      </c>
      <c r="E60" t="s">
        <v>304</v>
      </c>
      <c r="F60">
        <v>91</v>
      </c>
      <c r="G60">
        <v>59</v>
      </c>
      <c r="H60">
        <v>49</v>
      </c>
      <c r="I60" s="1">
        <v>6</v>
      </c>
      <c r="J60" s="2">
        <v>45588</v>
      </c>
      <c r="K60" s="2">
        <v>45387</v>
      </c>
      <c r="L60" s="2">
        <v>45469</v>
      </c>
      <c r="M60" t="s">
        <v>305</v>
      </c>
      <c r="N60">
        <v>30</v>
      </c>
      <c r="O60">
        <v>63</v>
      </c>
      <c r="P60" t="s">
        <v>44</v>
      </c>
      <c r="Q60" t="str">
        <f t="shared" si="3"/>
        <v>Expiry before Received</v>
      </c>
      <c r="R60" s="3">
        <f t="shared" si="1"/>
        <v>546</v>
      </c>
      <c r="S60">
        <f t="shared" si="0"/>
        <v>0</v>
      </c>
      <c r="T60" t="str">
        <f t="shared" si="2"/>
        <v>Sufficient Stock</v>
      </c>
    </row>
    <row r="61" spans="1:20" x14ac:dyDescent="0.3">
      <c r="A61" t="s">
        <v>306</v>
      </c>
      <c r="B61" t="s">
        <v>186</v>
      </c>
      <c r="C61" t="s">
        <v>58</v>
      </c>
      <c r="D61" t="s">
        <v>307</v>
      </c>
      <c r="E61" t="s">
        <v>308</v>
      </c>
      <c r="F61">
        <v>28</v>
      </c>
      <c r="G61">
        <v>17</v>
      </c>
      <c r="H61">
        <v>28</v>
      </c>
      <c r="I61" s="1">
        <v>6</v>
      </c>
      <c r="J61" s="2">
        <v>45589</v>
      </c>
      <c r="K61" s="2">
        <v>45524</v>
      </c>
      <c r="L61" s="2">
        <v>45531</v>
      </c>
      <c r="M61" t="s">
        <v>309</v>
      </c>
      <c r="N61">
        <v>38</v>
      </c>
      <c r="O61">
        <v>25</v>
      </c>
      <c r="P61" t="s">
        <v>44</v>
      </c>
      <c r="Q61" t="str">
        <f t="shared" si="3"/>
        <v>Expiry before Received</v>
      </c>
      <c r="R61" s="3">
        <f t="shared" si="1"/>
        <v>168</v>
      </c>
      <c r="S61">
        <f t="shared" si="0"/>
        <v>0</v>
      </c>
      <c r="T61" t="str">
        <f t="shared" si="2"/>
        <v>Sufficient Stock</v>
      </c>
    </row>
    <row r="62" spans="1:20" x14ac:dyDescent="0.3">
      <c r="A62" t="s">
        <v>310</v>
      </c>
      <c r="B62" t="s">
        <v>311</v>
      </c>
      <c r="C62" t="s">
        <v>47</v>
      </c>
      <c r="D62" t="s">
        <v>312</v>
      </c>
      <c r="E62" t="s">
        <v>313</v>
      </c>
      <c r="F62">
        <v>51</v>
      </c>
      <c r="G62">
        <v>60</v>
      </c>
      <c r="H62">
        <v>98</v>
      </c>
      <c r="I62" s="1">
        <v>1.5</v>
      </c>
      <c r="J62" s="2">
        <v>45413</v>
      </c>
      <c r="K62" s="2">
        <v>45638</v>
      </c>
      <c r="L62" s="2">
        <v>45561</v>
      </c>
      <c r="M62" t="s">
        <v>314</v>
      </c>
      <c r="N62">
        <v>44</v>
      </c>
      <c r="O62">
        <v>95</v>
      </c>
      <c r="P62" t="s">
        <v>26</v>
      </c>
      <c r="Q62" t="str">
        <f t="shared" si="3"/>
        <v>OK</v>
      </c>
      <c r="R62" s="3">
        <f t="shared" si="1"/>
        <v>76.5</v>
      </c>
      <c r="S62">
        <f t="shared" si="0"/>
        <v>9</v>
      </c>
      <c r="T62" t="str">
        <f t="shared" si="2"/>
        <v>Reorder Required</v>
      </c>
    </row>
    <row r="63" spans="1:20" x14ac:dyDescent="0.3">
      <c r="A63" t="s">
        <v>315</v>
      </c>
      <c r="B63" t="s">
        <v>316</v>
      </c>
      <c r="C63" t="s">
        <v>29</v>
      </c>
      <c r="D63" t="s">
        <v>317</v>
      </c>
      <c r="E63" t="s">
        <v>318</v>
      </c>
      <c r="F63">
        <v>46</v>
      </c>
      <c r="G63">
        <v>27</v>
      </c>
      <c r="H63">
        <v>76</v>
      </c>
      <c r="I63" s="1">
        <v>5</v>
      </c>
      <c r="J63" s="2">
        <v>45550</v>
      </c>
      <c r="K63" s="2">
        <v>45558</v>
      </c>
      <c r="L63" s="2">
        <v>45670</v>
      </c>
      <c r="M63" t="s">
        <v>319</v>
      </c>
      <c r="N63">
        <v>64</v>
      </c>
      <c r="O63">
        <v>96</v>
      </c>
      <c r="P63" t="s">
        <v>44</v>
      </c>
      <c r="Q63" t="str">
        <f t="shared" si="3"/>
        <v>OK</v>
      </c>
      <c r="R63" s="3">
        <f t="shared" si="1"/>
        <v>230</v>
      </c>
      <c r="S63">
        <f t="shared" si="0"/>
        <v>0</v>
      </c>
      <c r="T63" t="str">
        <f t="shared" si="2"/>
        <v>Sufficient Stock</v>
      </c>
    </row>
    <row r="64" spans="1:20" x14ac:dyDescent="0.3">
      <c r="A64" t="s">
        <v>320</v>
      </c>
      <c r="B64" t="s">
        <v>171</v>
      </c>
      <c r="C64" t="s">
        <v>47</v>
      </c>
      <c r="D64" t="s">
        <v>321</v>
      </c>
      <c r="E64" t="s">
        <v>322</v>
      </c>
      <c r="F64">
        <v>82</v>
      </c>
      <c r="G64">
        <v>65</v>
      </c>
      <c r="H64">
        <v>69</v>
      </c>
      <c r="I64" s="1">
        <v>4.45</v>
      </c>
      <c r="J64" s="2">
        <v>45393</v>
      </c>
      <c r="K64" s="2">
        <v>45608</v>
      </c>
      <c r="L64" s="2">
        <v>45512</v>
      </c>
      <c r="M64" t="s">
        <v>323</v>
      </c>
      <c r="N64">
        <v>30</v>
      </c>
      <c r="O64">
        <v>78</v>
      </c>
      <c r="P64" t="s">
        <v>38</v>
      </c>
      <c r="Q64" t="str">
        <f t="shared" si="3"/>
        <v>OK</v>
      </c>
      <c r="R64" s="3">
        <f t="shared" si="1"/>
        <v>364.90000000000003</v>
      </c>
      <c r="S64">
        <f t="shared" si="0"/>
        <v>0</v>
      </c>
      <c r="T64" t="str">
        <f t="shared" si="2"/>
        <v>Sufficient Stock</v>
      </c>
    </row>
    <row r="65" spans="1:20" x14ac:dyDescent="0.3">
      <c r="A65" t="s">
        <v>324</v>
      </c>
      <c r="B65" t="s">
        <v>186</v>
      </c>
      <c r="C65" t="s">
        <v>58</v>
      </c>
      <c r="D65" t="s">
        <v>325</v>
      </c>
      <c r="E65" t="s">
        <v>198</v>
      </c>
      <c r="F65">
        <v>100</v>
      </c>
      <c r="G65">
        <v>92</v>
      </c>
      <c r="H65">
        <v>26</v>
      </c>
      <c r="I65" s="1">
        <v>6</v>
      </c>
      <c r="J65" s="2">
        <v>45417</v>
      </c>
      <c r="K65" s="2">
        <v>45680</v>
      </c>
      <c r="L65" s="2">
        <v>45704</v>
      </c>
      <c r="M65" t="s">
        <v>326</v>
      </c>
      <c r="N65">
        <v>84</v>
      </c>
      <c r="O65">
        <v>9</v>
      </c>
      <c r="P65" t="s">
        <v>44</v>
      </c>
      <c r="Q65" t="str">
        <f t="shared" si="3"/>
        <v>OK</v>
      </c>
      <c r="R65" s="3">
        <f t="shared" si="1"/>
        <v>600</v>
      </c>
      <c r="S65">
        <f t="shared" si="0"/>
        <v>0</v>
      </c>
      <c r="T65" t="str">
        <f t="shared" si="2"/>
        <v>Sufficient Stock</v>
      </c>
    </row>
    <row r="66" spans="1:20" x14ac:dyDescent="0.3">
      <c r="A66" t="s">
        <v>327</v>
      </c>
      <c r="B66" t="s">
        <v>328</v>
      </c>
      <c r="C66" t="s">
        <v>64</v>
      </c>
      <c r="D66" t="s">
        <v>329</v>
      </c>
      <c r="E66" t="s">
        <v>330</v>
      </c>
      <c r="F66">
        <v>51</v>
      </c>
      <c r="G66">
        <v>53</v>
      </c>
      <c r="H66">
        <v>88</v>
      </c>
      <c r="I66" s="1">
        <v>6</v>
      </c>
      <c r="J66" s="2">
        <v>45688</v>
      </c>
      <c r="K66" s="2">
        <v>45473</v>
      </c>
      <c r="L66" s="2">
        <v>45559</v>
      </c>
      <c r="M66" t="s">
        <v>331</v>
      </c>
      <c r="N66">
        <v>54</v>
      </c>
      <c r="O66">
        <v>59</v>
      </c>
      <c r="P66" t="s">
        <v>26</v>
      </c>
      <c r="Q66" t="str">
        <f t="shared" si="3"/>
        <v>Expiry before Received</v>
      </c>
      <c r="R66" s="3">
        <f t="shared" si="1"/>
        <v>306</v>
      </c>
      <c r="S66">
        <f t="shared" ref="S66:S129" si="4">MAX(0,G66-F66)</f>
        <v>2</v>
      </c>
      <c r="T66" t="str">
        <f t="shared" si="2"/>
        <v>Reorder Required</v>
      </c>
    </row>
    <row r="67" spans="1:20" x14ac:dyDescent="0.3">
      <c r="A67" t="s">
        <v>332</v>
      </c>
      <c r="B67" t="s">
        <v>234</v>
      </c>
      <c r="C67" t="s">
        <v>29</v>
      </c>
      <c r="D67" t="s">
        <v>333</v>
      </c>
      <c r="E67" t="s">
        <v>211</v>
      </c>
      <c r="F67">
        <v>61</v>
      </c>
      <c r="G67">
        <v>43</v>
      </c>
      <c r="H67">
        <v>29</v>
      </c>
      <c r="I67" s="1">
        <v>15</v>
      </c>
      <c r="J67" s="2">
        <v>45691</v>
      </c>
      <c r="K67" s="2">
        <v>45590</v>
      </c>
      <c r="L67" s="2">
        <v>45354</v>
      </c>
      <c r="M67" t="s">
        <v>334</v>
      </c>
      <c r="N67">
        <v>67</v>
      </c>
      <c r="O67">
        <v>6</v>
      </c>
      <c r="P67" t="s">
        <v>26</v>
      </c>
      <c r="Q67" t="str">
        <f t="shared" si="3"/>
        <v>Expiry before Received</v>
      </c>
      <c r="R67" s="3">
        <f t="shared" ref="R67:R130" si="5">F67*I67</f>
        <v>915</v>
      </c>
      <c r="S67">
        <f t="shared" si="4"/>
        <v>0</v>
      </c>
      <c r="T67" t="str">
        <f t="shared" ref="T67:T130" si="6">IF(F67&lt;G67,"Reorder Required","Sufficient Stock")</f>
        <v>Sufficient Stock</v>
      </c>
    </row>
    <row r="68" spans="1:20" x14ac:dyDescent="0.3">
      <c r="A68" t="s">
        <v>335</v>
      </c>
      <c r="B68" t="s">
        <v>336</v>
      </c>
      <c r="C68" t="s">
        <v>29</v>
      </c>
      <c r="D68" t="s">
        <v>337</v>
      </c>
      <c r="E68" t="s">
        <v>338</v>
      </c>
      <c r="F68">
        <v>99</v>
      </c>
      <c r="G68">
        <v>87</v>
      </c>
      <c r="H68">
        <v>10</v>
      </c>
      <c r="I68" s="1">
        <v>25</v>
      </c>
      <c r="J68" s="2">
        <v>45634</v>
      </c>
      <c r="K68" s="2">
        <v>45351</v>
      </c>
      <c r="L68" s="2">
        <v>45368</v>
      </c>
      <c r="M68" t="s">
        <v>339</v>
      </c>
      <c r="N68">
        <v>93</v>
      </c>
      <c r="O68">
        <v>70</v>
      </c>
      <c r="P68" t="s">
        <v>44</v>
      </c>
      <c r="Q68" t="str">
        <f t="shared" si="3"/>
        <v>Expiry before Received</v>
      </c>
      <c r="R68" s="3">
        <f t="shared" si="5"/>
        <v>2475</v>
      </c>
      <c r="S68">
        <f t="shared" si="4"/>
        <v>0</v>
      </c>
      <c r="T68" t="str">
        <f t="shared" si="6"/>
        <v>Sufficient Stock</v>
      </c>
    </row>
    <row r="69" spans="1:20" x14ac:dyDescent="0.3">
      <c r="A69" t="s">
        <v>340</v>
      </c>
      <c r="B69" t="s">
        <v>176</v>
      </c>
      <c r="C69" t="s">
        <v>47</v>
      </c>
      <c r="D69" t="s">
        <v>341</v>
      </c>
      <c r="E69" t="s">
        <v>139</v>
      </c>
      <c r="F69">
        <v>13</v>
      </c>
      <c r="G69">
        <v>60</v>
      </c>
      <c r="H69">
        <v>100</v>
      </c>
      <c r="I69" s="1">
        <v>1.8</v>
      </c>
      <c r="J69" s="2">
        <v>45491</v>
      </c>
      <c r="K69" s="2">
        <v>45673</v>
      </c>
      <c r="L69" s="2">
        <v>45467</v>
      </c>
      <c r="M69" t="s">
        <v>342</v>
      </c>
      <c r="N69">
        <v>44</v>
      </c>
      <c r="O69">
        <v>32</v>
      </c>
      <c r="P69" t="s">
        <v>38</v>
      </c>
      <c r="Q69" t="str">
        <f t="shared" si="3"/>
        <v>Expiry before Received</v>
      </c>
      <c r="R69" s="3">
        <f t="shared" si="5"/>
        <v>23.400000000000002</v>
      </c>
      <c r="S69">
        <f t="shared" si="4"/>
        <v>47</v>
      </c>
      <c r="T69" t="str">
        <f t="shared" si="6"/>
        <v>Reorder Required</v>
      </c>
    </row>
    <row r="70" spans="1:20" x14ac:dyDescent="0.3">
      <c r="A70" t="s">
        <v>343</v>
      </c>
      <c r="B70" t="s">
        <v>344</v>
      </c>
      <c r="C70" t="s">
        <v>64</v>
      </c>
      <c r="D70" t="s">
        <v>345</v>
      </c>
      <c r="E70" t="s">
        <v>346</v>
      </c>
      <c r="F70">
        <v>45</v>
      </c>
      <c r="G70">
        <v>63</v>
      </c>
      <c r="H70">
        <v>75</v>
      </c>
      <c r="I70" s="1">
        <v>7</v>
      </c>
      <c r="J70" s="2">
        <v>45685</v>
      </c>
      <c r="K70" s="2">
        <v>45616</v>
      </c>
      <c r="L70" s="2">
        <v>45697</v>
      </c>
      <c r="M70" t="s">
        <v>347</v>
      </c>
      <c r="N70">
        <v>83</v>
      </c>
      <c r="O70">
        <v>5</v>
      </c>
      <c r="P70" t="s">
        <v>26</v>
      </c>
      <c r="Q70" t="str">
        <f t="shared" si="3"/>
        <v>Last Order before Received</v>
      </c>
      <c r="R70" s="3">
        <f t="shared" si="5"/>
        <v>315</v>
      </c>
      <c r="S70">
        <f t="shared" si="4"/>
        <v>18</v>
      </c>
      <c r="T70" t="str">
        <f t="shared" si="6"/>
        <v>Reorder Required</v>
      </c>
    </row>
    <row r="71" spans="1:20" x14ac:dyDescent="0.3">
      <c r="A71" t="s">
        <v>348</v>
      </c>
      <c r="B71" t="s">
        <v>349</v>
      </c>
      <c r="C71" t="s">
        <v>47</v>
      </c>
      <c r="D71" t="s">
        <v>350</v>
      </c>
      <c r="E71" t="s">
        <v>351</v>
      </c>
      <c r="F71">
        <v>73</v>
      </c>
      <c r="G71">
        <v>87</v>
      </c>
      <c r="H71">
        <v>46</v>
      </c>
      <c r="I71" s="1">
        <v>4</v>
      </c>
      <c r="J71" s="2">
        <v>45559</v>
      </c>
      <c r="K71" s="2">
        <v>45672</v>
      </c>
      <c r="L71" s="2">
        <v>45423</v>
      </c>
      <c r="M71" t="s">
        <v>352</v>
      </c>
      <c r="N71">
        <v>47</v>
      </c>
      <c r="O71">
        <v>67</v>
      </c>
      <c r="P71" t="s">
        <v>26</v>
      </c>
      <c r="Q71" t="str">
        <f t="shared" ref="Q71:Q134" si="7">IF(L71&lt;J71,"Expiry before Received",IF(K71&lt;J71,"Last Order before Received","OK"))</f>
        <v>Expiry before Received</v>
      </c>
      <c r="R71" s="3">
        <f t="shared" si="5"/>
        <v>292</v>
      </c>
      <c r="S71">
        <f t="shared" si="4"/>
        <v>14</v>
      </c>
      <c r="T71" t="str">
        <f t="shared" si="6"/>
        <v>Reorder Required</v>
      </c>
    </row>
    <row r="72" spans="1:20" x14ac:dyDescent="0.3">
      <c r="A72" t="s">
        <v>353</v>
      </c>
      <c r="B72" t="s">
        <v>354</v>
      </c>
      <c r="C72" t="s">
        <v>47</v>
      </c>
      <c r="D72" t="s">
        <v>355</v>
      </c>
      <c r="E72" t="s">
        <v>356</v>
      </c>
      <c r="F72">
        <v>39</v>
      </c>
      <c r="G72">
        <v>21</v>
      </c>
      <c r="H72">
        <v>5</v>
      </c>
      <c r="I72" s="1">
        <v>3</v>
      </c>
      <c r="J72" s="2">
        <v>45620</v>
      </c>
      <c r="K72" s="2">
        <v>45413</v>
      </c>
      <c r="L72" s="2">
        <v>45665</v>
      </c>
      <c r="M72" t="s">
        <v>357</v>
      </c>
      <c r="N72">
        <v>51</v>
      </c>
      <c r="O72">
        <v>98</v>
      </c>
      <c r="P72" t="s">
        <v>38</v>
      </c>
      <c r="Q72" t="str">
        <f t="shared" si="7"/>
        <v>Last Order before Received</v>
      </c>
      <c r="R72" s="3">
        <f t="shared" si="5"/>
        <v>117</v>
      </c>
      <c r="S72">
        <f t="shared" si="4"/>
        <v>0</v>
      </c>
      <c r="T72" t="str">
        <f t="shared" si="6"/>
        <v>Sufficient Stock</v>
      </c>
    </row>
    <row r="73" spans="1:20" x14ac:dyDescent="0.3">
      <c r="A73" t="s">
        <v>358</v>
      </c>
      <c r="B73" t="s">
        <v>131</v>
      </c>
      <c r="C73" t="s">
        <v>132</v>
      </c>
      <c r="D73" t="s">
        <v>359</v>
      </c>
      <c r="E73" t="s">
        <v>360</v>
      </c>
      <c r="F73">
        <v>29</v>
      </c>
      <c r="G73">
        <v>72</v>
      </c>
      <c r="H73">
        <v>96</v>
      </c>
      <c r="I73" s="1">
        <v>12</v>
      </c>
      <c r="J73" s="2">
        <v>45415</v>
      </c>
      <c r="K73" s="2">
        <v>45622</v>
      </c>
      <c r="L73" s="2">
        <v>45666</v>
      </c>
      <c r="M73" t="s">
        <v>361</v>
      </c>
      <c r="N73">
        <v>85</v>
      </c>
      <c r="O73">
        <v>52</v>
      </c>
      <c r="P73" t="s">
        <v>44</v>
      </c>
      <c r="Q73" t="str">
        <f t="shared" si="7"/>
        <v>OK</v>
      </c>
      <c r="R73" s="3">
        <f t="shared" si="5"/>
        <v>348</v>
      </c>
      <c r="S73">
        <f t="shared" si="4"/>
        <v>43</v>
      </c>
      <c r="T73" t="str">
        <f t="shared" si="6"/>
        <v>Reorder Required</v>
      </c>
    </row>
    <row r="74" spans="1:20" x14ac:dyDescent="0.3">
      <c r="A74" t="s">
        <v>362</v>
      </c>
      <c r="B74" t="s">
        <v>363</v>
      </c>
      <c r="C74" t="s">
        <v>64</v>
      </c>
      <c r="D74" t="s">
        <v>364</v>
      </c>
      <c r="E74" t="s">
        <v>365</v>
      </c>
      <c r="F74">
        <v>12</v>
      </c>
      <c r="G74">
        <v>60</v>
      </c>
      <c r="H74">
        <v>73</v>
      </c>
      <c r="I74" s="1">
        <v>4</v>
      </c>
      <c r="J74" s="2">
        <v>45691</v>
      </c>
      <c r="K74" s="2">
        <v>45367</v>
      </c>
      <c r="L74" s="2">
        <v>45536</v>
      </c>
      <c r="M74" t="s">
        <v>366</v>
      </c>
      <c r="N74">
        <v>20</v>
      </c>
      <c r="O74">
        <v>35</v>
      </c>
      <c r="P74" t="s">
        <v>26</v>
      </c>
      <c r="Q74" t="str">
        <f t="shared" si="7"/>
        <v>Expiry before Received</v>
      </c>
      <c r="R74" s="3">
        <f t="shared" si="5"/>
        <v>48</v>
      </c>
      <c r="S74">
        <f t="shared" si="4"/>
        <v>48</v>
      </c>
      <c r="T74" t="str">
        <f t="shared" si="6"/>
        <v>Reorder Required</v>
      </c>
    </row>
    <row r="75" spans="1:20" x14ac:dyDescent="0.3">
      <c r="A75" t="s">
        <v>367</v>
      </c>
      <c r="B75" t="s">
        <v>368</v>
      </c>
      <c r="C75" t="s">
        <v>47</v>
      </c>
      <c r="D75" t="s">
        <v>369</v>
      </c>
      <c r="E75" t="s">
        <v>370</v>
      </c>
      <c r="F75">
        <v>96</v>
      </c>
      <c r="G75">
        <v>33</v>
      </c>
      <c r="H75">
        <v>72</v>
      </c>
      <c r="I75" s="1">
        <v>4.45</v>
      </c>
      <c r="J75" s="2">
        <v>45361</v>
      </c>
      <c r="K75" s="2">
        <v>45428</v>
      </c>
      <c r="L75" s="2">
        <v>45485</v>
      </c>
      <c r="M75" t="s">
        <v>371</v>
      </c>
      <c r="N75">
        <v>74</v>
      </c>
      <c r="O75">
        <v>100</v>
      </c>
      <c r="P75" t="s">
        <v>44</v>
      </c>
      <c r="Q75" t="str">
        <f t="shared" si="7"/>
        <v>OK</v>
      </c>
      <c r="R75" s="3">
        <f t="shared" si="5"/>
        <v>427.20000000000005</v>
      </c>
      <c r="S75">
        <f t="shared" si="4"/>
        <v>0</v>
      </c>
      <c r="T75" t="str">
        <f t="shared" si="6"/>
        <v>Sufficient Stock</v>
      </c>
    </row>
    <row r="76" spans="1:20" x14ac:dyDescent="0.3">
      <c r="A76" t="s">
        <v>372</v>
      </c>
      <c r="B76" t="s">
        <v>201</v>
      </c>
      <c r="C76" t="s">
        <v>47</v>
      </c>
      <c r="D76" t="s">
        <v>373</v>
      </c>
      <c r="E76" t="s">
        <v>374</v>
      </c>
      <c r="F76">
        <v>35</v>
      </c>
      <c r="G76">
        <v>92</v>
      </c>
      <c r="H76">
        <v>74</v>
      </c>
      <c r="I76" s="1">
        <v>2</v>
      </c>
      <c r="J76" s="2">
        <v>45621</v>
      </c>
      <c r="K76" s="2">
        <v>45691</v>
      </c>
      <c r="L76" s="2">
        <v>45610</v>
      </c>
      <c r="M76" t="s">
        <v>375</v>
      </c>
      <c r="N76">
        <v>76</v>
      </c>
      <c r="O76">
        <v>32</v>
      </c>
      <c r="P76" t="s">
        <v>44</v>
      </c>
      <c r="Q76" t="str">
        <f t="shared" si="7"/>
        <v>Expiry before Received</v>
      </c>
      <c r="R76" s="3">
        <f t="shared" si="5"/>
        <v>70</v>
      </c>
      <c r="S76">
        <f t="shared" si="4"/>
        <v>57</v>
      </c>
      <c r="T76" t="str">
        <f t="shared" si="6"/>
        <v>Reorder Required</v>
      </c>
    </row>
    <row r="77" spans="1:20" x14ac:dyDescent="0.3">
      <c r="A77" t="s">
        <v>376</v>
      </c>
      <c r="B77" t="s">
        <v>302</v>
      </c>
      <c r="C77" t="s">
        <v>132</v>
      </c>
      <c r="D77" t="s">
        <v>377</v>
      </c>
      <c r="E77" t="s">
        <v>378</v>
      </c>
      <c r="F77">
        <v>89</v>
      </c>
      <c r="G77">
        <v>34</v>
      </c>
      <c r="H77">
        <v>15</v>
      </c>
      <c r="I77" s="1">
        <v>6</v>
      </c>
      <c r="J77" s="2">
        <v>45657</v>
      </c>
      <c r="K77" s="2">
        <v>45359</v>
      </c>
      <c r="L77" s="2">
        <v>45528</v>
      </c>
      <c r="M77" t="s">
        <v>379</v>
      </c>
      <c r="N77">
        <v>60</v>
      </c>
      <c r="O77">
        <v>2</v>
      </c>
      <c r="P77" t="s">
        <v>26</v>
      </c>
      <c r="Q77" t="str">
        <f t="shared" si="7"/>
        <v>Expiry before Received</v>
      </c>
      <c r="R77" s="3">
        <f t="shared" si="5"/>
        <v>534</v>
      </c>
      <c r="S77">
        <f t="shared" si="4"/>
        <v>0</v>
      </c>
      <c r="T77" t="str">
        <f t="shared" si="6"/>
        <v>Sufficient Stock</v>
      </c>
    </row>
    <row r="78" spans="1:20" x14ac:dyDescent="0.3">
      <c r="A78" t="s">
        <v>380</v>
      </c>
      <c r="B78" t="s">
        <v>224</v>
      </c>
      <c r="C78" t="s">
        <v>47</v>
      </c>
      <c r="D78" t="s">
        <v>381</v>
      </c>
      <c r="E78" t="s">
        <v>382</v>
      </c>
      <c r="F78">
        <v>60</v>
      </c>
      <c r="G78">
        <v>36</v>
      </c>
      <c r="H78">
        <v>28</v>
      </c>
      <c r="I78" s="1">
        <v>4.5</v>
      </c>
      <c r="J78" s="2">
        <v>45473</v>
      </c>
      <c r="K78" s="2">
        <v>45553</v>
      </c>
      <c r="L78" s="2">
        <v>45646</v>
      </c>
      <c r="M78" t="s">
        <v>383</v>
      </c>
      <c r="N78">
        <v>26</v>
      </c>
      <c r="O78">
        <v>29</v>
      </c>
      <c r="P78" t="s">
        <v>44</v>
      </c>
      <c r="Q78" t="str">
        <f t="shared" si="7"/>
        <v>OK</v>
      </c>
      <c r="R78" s="3">
        <f t="shared" si="5"/>
        <v>270</v>
      </c>
      <c r="S78">
        <f t="shared" si="4"/>
        <v>0</v>
      </c>
      <c r="T78" t="str">
        <f t="shared" si="6"/>
        <v>Sufficient Stock</v>
      </c>
    </row>
    <row r="79" spans="1:20" x14ac:dyDescent="0.3">
      <c r="A79" t="s">
        <v>384</v>
      </c>
      <c r="B79" t="s">
        <v>385</v>
      </c>
      <c r="C79" t="s">
        <v>22</v>
      </c>
      <c r="D79" t="s">
        <v>386</v>
      </c>
      <c r="E79" t="s">
        <v>31</v>
      </c>
      <c r="F79">
        <v>20</v>
      </c>
      <c r="G79">
        <v>34</v>
      </c>
      <c r="H79">
        <v>74</v>
      </c>
      <c r="I79" s="1">
        <v>4.5</v>
      </c>
      <c r="J79" s="2">
        <v>45556</v>
      </c>
      <c r="K79" s="2">
        <v>45589</v>
      </c>
      <c r="L79" s="2">
        <v>45703</v>
      </c>
      <c r="M79" t="s">
        <v>387</v>
      </c>
      <c r="N79">
        <v>50</v>
      </c>
      <c r="O79">
        <v>83</v>
      </c>
      <c r="P79" t="s">
        <v>26</v>
      </c>
      <c r="Q79" t="str">
        <f t="shared" si="7"/>
        <v>OK</v>
      </c>
      <c r="R79" s="3">
        <f t="shared" si="5"/>
        <v>90</v>
      </c>
      <c r="S79">
        <f t="shared" si="4"/>
        <v>14</v>
      </c>
      <c r="T79" t="str">
        <f t="shared" si="6"/>
        <v>Reorder Required</v>
      </c>
    </row>
    <row r="80" spans="1:20" x14ac:dyDescent="0.3">
      <c r="A80" t="s">
        <v>388</v>
      </c>
      <c r="B80" t="s">
        <v>389</v>
      </c>
      <c r="C80" t="s">
        <v>47</v>
      </c>
      <c r="D80" t="s">
        <v>390</v>
      </c>
      <c r="E80" t="s">
        <v>370</v>
      </c>
      <c r="F80">
        <v>28</v>
      </c>
      <c r="G80">
        <v>40</v>
      </c>
      <c r="H80">
        <v>27</v>
      </c>
      <c r="I80" s="1">
        <v>1.2</v>
      </c>
      <c r="J80" s="2">
        <v>45640</v>
      </c>
      <c r="K80" s="2">
        <v>45502</v>
      </c>
      <c r="L80" s="2">
        <v>45592</v>
      </c>
      <c r="M80" t="s">
        <v>391</v>
      </c>
      <c r="N80">
        <v>30</v>
      </c>
      <c r="O80">
        <v>56</v>
      </c>
      <c r="P80" t="s">
        <v>44</v>
      </c>
      <c r="Q80" t="str">
        <f t="shared" si="7"/>
        <v>Expiry before Received</v>
      </c>
      <c r="R80" s="3">
        <f t="shared" si="5"/>
        <v>33.6</v>
      </c>
      <c r="S80">
        <f t="shared" si="4"/>
        <v>12</v>
      </c>
      <c r="T80" t="str">
        <f t="shared" si="6"/>
        <v>Reorder Required</v>
      </c>
    </row>
    <row r="81" spans="1:20" x14ac:dyDescent="0.3">
      <c r="A81" t="s">
        <v>392</v>
      </c>
      <c r="B81" t="s">
        <v>57</v>
      </c>
      <c r="C81" t="s">
        <v>58</v>
      </c>
      <c r="D81" t="s">
        <v>393</v>
      </c>
      <c r="E81" t="s">
        <v>394</v>
      </c>
      <c r="F81">
        <v>20</v>
      </c>
      <c r="G81">
        <v>55</v>
      </c>
      <c r="H81">
        <v>15</v>
      </c>
      <c r="I81" s="1">
        <v>2.5</v>
      </c>
      <c r="J81" s="2">
        <v>45635</v>
      </c>
      <c r="K81" s="2">
        <v>45394</v>
      </c>
      <c r="L81" s="2">
        <v>45544</v>
      </c>
      <c r="M81" t="s">
        <v>395</v>
      </c>
      <c r="N81">
        <v>86</v>
      </c>
      <c r="O81">
        <v>61</v>
      </c>
      <c r="P81" t="s">
        <v>38</v>
      </c>
      <c r="Q81" t="str">
        <f t="shared" si="7"/>
        <v>Expiry before Received</v>
      </c>
      <c r="R81" s="3">
        <f t="shared" si="5"/>
        <v>50</v>
      </c>
      <c r="S81">
        <f t="shared" si="4"/>
        <v>35</v>
      </c>
      <c r="T81" t="str">
        <f t="shared" si="6"/>
        <v>Reorder Required</v>
      </c>
    </row>
    <row r="82" spans="1:20" x14ac:dyDescent="0.3">
      <c r="A82" t="s">
        <v>396</v>
      </c>
      <c r="B82" t="s">
        <v>397</v>
      </c>
      <c r="C82" t="s">
        <v>89</v>
      </c>
      <c r="D82" t="s">
        <v>398</v>
      </c>
      <c r="E82" t="s">
        <v>399</v>
      </c>
      <c r="F82">
        <v>38</v>
      </c>
      <c r="G82">
        <v>93</v>
      </c>
      <c r="H82">
        <v>61</v>
      </c>
      <c r="I82" s="1">
        <v>6</v>
      </c>
      <c r="J82" s="2">
        <v>45636</v>
      </c>
      <c r="K82" s="2">
        <v>45488</v>
      </c>
      <c r="L82" s="2">
        <v>45534</v>
      </c>
      <c r="M82" t="s">
        <v>400</v>
      </c>
      <c r="N82">
        <v>67</v>
      </c>
      <c r="O82">
        <v>100</v>
      </c>
      <c r="P82" t="s">
        <v>44</v>
      </c>
      <c r="Q82" t="str">
        <f t="shared" si="7"/>
        <v>Expiry before Received</v>
      </c>
      <c r="R82" s="3">
        <f t="shared" si="5"/>
        <v>228</v>
      </c>
      <c r="S82">
        <f t="shared" si="4"/>
        <v>55</v>
      </c>
      <c r="T82" t="str">
        <f t="shared" si="6"/>
        <v>Reorder Required</v>
      </c>
    </row>
    <row r="83" spans="1:20" x14ac:dyDescent="0.3">
      <c r="A83" t="s">
        <v>401</v>
      </c>
      <c r="B83" t="s">
        <v>402</v>
      </c>
      <c r="C83" t="s">
        <v>47</v>
      </c>
      <c r="D83" t="s">
        <v>403</v>
      </c>
      <c r="E83" t="s">
        <v>404</v>
      </c>
      <c r="F83">
        <v>99</v>
      </c>
      <c r="G83">
        <v>1</v>
      </c>
      <c r="H83">
        <v>4</v>
      </c>
      <c r="I83" s="1">
        <v>3</v>
      </c>
      <c r="J83" s="2">
        <v>45639</v>
      </c>
      <c r="K83" s="2">
        <v>45684</v>
      </c>
      <c r="L83" s="2">
        <v>45523</v>
      </c>
      <c r="M83" t="s">
        <v>405</v>
      </c>
      <c r="N83">
        <v>50</v>
      </c>
      <c r="O83">
        <v>53</v>
      </c>
      <c r="P83" t="s">
        <v>38</v>
      </c>
      <c r="Q83" t="str">
        <f t="shared" si="7"/>
        <v>Expiry before Received</v>
      </c>
      <c r="R83" s="3">
        <f t="shared" si="5"/>
        <v>297</v>
      </c>
      <c r="S83">
        <f t="shared" si="4"/>
        <v>0</v>
      </c>
      <c r="T83" t="str">
        <f t="shared" si="6"/>
        <v>Sufficient Stock</v>
      </c>
    </row>
    <row r="84" spans="1:20" x14ac:dyDescent="0.3">
      <c r="A84" t="s">
        <v>406</v>
      </c>
      <c r="B84" t="s">
        <v>407</v>
      </c>
      <c r="C84" t="s">
        <v>64</v>
      </c>
      <c r="D84" t="s">
        <v>408</v>
      </c>
      <c r="E84" t="s">
        <v>409</v>
      </c>
      <c r="F84">
        <v>92</v>
      </c>
      <c r="G84">
        <v>52</v>
      </c>
      <c r="H84">
        <v>80</v>
      </c>
      <c r="I84" s="1">
        <v>2.5</v>
      </c>
      <c r="J84" s="2">
        <v>45446</v>
      </c>
      <c r="K84" s="2">
        <v>45587</v>
      </c>
      <c r="L84" s="2">
        <v>45372</v>
      </c>
      <c r="M84" t="s">
        <v>410</v>
      </c>
      <c r="N84">
        <v>72</v>
      </c>
      <c r="O84">
        <v>96</v>
      </c>
      <c r="P84" t="s">
        <v>26</v>
      </c>
      <c r="Q84" t="str">
        <f t="shared" si="7"/>
        <v>Expiry before Received</v>
      </c>
      <c r="R84" s="3">
        <f t="shared" si="5"/>
        <v>230</v>
      </c>
      <c r="S84">
        <f t="shared" si="4"/>
        <v>0</v>
      </c>
      <c r="T84" t="str">
        <f t="shared" si="6"/>
        <v>Sufficient Stock</v>
      </c>
    </row>
    <row r="85" spans="1:20" x14ac:dyDescent="0.3">
      <c r="A85" t="s">
        <v>411</v>
      </c>
      <c r="B85" t="s">
        <v>126</v>
      </c>
      <c r="C85" t="s">
        <v>47</v>
      </c>
      <c r="D85" t="s">
        <v>412</v>
      </c>
      <c r="E85" t="s">
        <v>413</v>
      </c>
      <c r="F85">
        <v>41</v>
      </c>
      <c r="G85">
        <v>29</v>
      </c>
      <c r="H85">
        <v>76</v>
      </c>
      <c r="I85" s="1">
        <v>2.4</v>
      </c>
      <c r="J85" s="2">
        <v>45348</v>
      </c>
      <c r="K85" s="2">
        <v>45548</v>
      </c>
      <c r="L85" s="2">
        <v>45566</v>
      </c>
      <c r="M85" t="s">
        <v>414</v>
      </c>
      <c r="N85">
        <v>59</v>
      </c>
      <c r="O85">
        <v>4</v>
      </c>
      <c r="P85" t="s">
        <v>26</v>
      </c>
      <c r="Q85" t="str">
        <f t="shared" si="7"/>
        <v>OK</v>
      </c>
      <c r="R85" s="3">
        <f t="shared" si="5"/>
        <v>98.399999999999991</v>
      </c>
      <c r="S85">
        <f t="shared" si="4"/>
        <v>0</v>
      </c>
      <c r="T85" t="str">
        <f t="shared" si="6"/>
        <v>Sufficient Stock</v>
      </c>
    </row>
    <row r="86" spans="1:20" x14ac:dyDescent="0.3">
      <c r="A86" t="s">
        <v>415</v>
      </c>
      <c r="B86" t="s">
        <v>302</v>
      </c>
      <c r="C86" t="s">
        <v>132</v>
      </c>
      <c r="D86" t="s">
        <v>416</v>
      </c>
      <c r="E86" t="s">
        <v>417</v>
      </c>
      <c r="F86">
        <v>44</v>
      </c>
      <c r="G86">
        <v>67</v>
      </c>
      <c r="H86">
        <v>48</v>
      </c>
      <c r="I86" s="1">
        <v>6</v>
      </c>
      <c r="J86" s="2">
        <v>45540</v>
      </c>
      <c r="K86" s="2">
        <v>45556</v>
      </c>
      <c r="L86" s="2">
        <v>45375</v>
      </c>
      <c r="M86" t="s">
        <v>418</v>
      </c>
      <c r="N86">
        <v>90</v>
      </c>
      <c r="O86">
        <v>11</v>
      </c>
      <c r="P86" t="s">
        <v>44</v>
      </c>
      <c r="Q86" t="str">
        <f t="shared" si="7"/>
        <v>Expiry before Received</v>
      </c>
      <c r="R86" s="3">
        <f t="shared" si="5"/>
        <v>264</v>
      </c>
      <c r="S86">
        <f t="shared" si="4"/>
        <v>23</v>
      </c>
      <c r="T86" t="str">
        <f t="shared" si="6"/>
        <v>Reorder Required</v>
      </c>
    </row>
    <row r="87" spans="1:20" x14ac:dyDescent="0.3">
      <c r="A87" t="s">
        <v>419</v>
      </c>
      <c r="B87" t="s">
        <v>83</v>
      </c>
      <c r="C87" t="s">
        <v>22</v>
      </c>
      <c r="D87" t="s">
        <v>420</v>
      </c>
      <c r="E87" t="s">
        <v>421</v>
      </c>
      <c r="F87">
        <v>47</v>
      </c>
      <c r="G87">
        <v>7</v>
      </c>
      <c r="H87">
        <v>63</v>
      </c>
      <c r="I87" s="1">
        <v>2</v>
      </c>
      <c r="J87" s="2">
        <v>45430</v>
      </c>
      <c r="K87" s="2">
        <v>45555</v>
      </c>
      <c r="L87" s="2">
        <v>45412</v>
      </c>
      <c r="M87" t="s">
        <v>422</v>
      </c>
      <c r="N87">
        <v>29</v>
      </c>
      <c r="O87">
        <v>20</v>
      </c>
      <c r="P87" t="s">
        <v>38</v>
      </c>
      <c r="Q87" t="str">
        <f t="shared" si="7"/>
        <v>Expiry before Received</v>
      </c>
      <c r="R87" s="3">
        <f t="shared" si="5"/>
        <v>94</v>
      </c>
      <c r="S87">
        <f t="shared" si="4"/>
        <v>0</v>
      </c>
      <c r="T87" t="str">
        <f t="shared" si="6"/>
        <v>Sufficient Stock</v>
      </c>
    </row>
    <row r="88" spans="1:20" x14ac:dyDescent="0.3">
      <c r="A88" t="s">
        <v>423</v>
      </c>
      <c r="B88" t="s">
        <v>108</v>
      </c>
      <c r="C88" t="s">
        <v>22</v>
      </c>
      <c r="D88" t="s">
        <v>424</v>
      </c>
      <c r="E88" t="s">
        <v>123</v>
      </c>
      <c r="F88">
        <v>21</v>
      </c>
      <c r="G88">
        <v>63</v>
      </c>
      <c r="H88">
        <v>65</v>
      </c>
      <c r="I88" s="1">
        <v>1.5</v>
      </c>
      <c r="J88" s="2">
        <v>45573</v>
      </c>
      <c r="K88" s="2">
        <v>45606</v>
      </c>
      <c r="L88" s="2">
        <v>45710</v>
      </c>
      <c r="M88" t="s">
        <v>425</v>
      </c>
      <c r="N88">
        <v>38</v>
      </c>
      <c r="O88">
        <v>73</v>
      </c>
      <c r="P88" t="s">
        <v>26</v>
      </c>
      <c r="Q88" t="str">
        <f t="shared" si="7"/>
        <v>OK</v>
      </c>
      <c r="R88" s="3">
        <f t="shared" si="5"/>
        <v>31.5</v>
      </c>
      <c r="S88">
        <f t="shared" si="4"/>
        <v>42</v>
      </c>
      <c r="T88" t="str">
        <f t="shared" si="6"/>
        <v>Reorder Required</v>
      </c>
    </row>
    <row r="89" spans="1:20" x14ac:dyDescent="0.3">
      <c r="A89" t="s">
        <v>426</v>
      </c>
      <c r="B89" t="s">
        <v>176</v>
      </c>
      <c r="C89" t="s">
        <v>47</v>
      </c>
      <c r="D89" t="s">
        <v>427</v>
      </c>
      <c r="E89" t="s">
        <v>428</v>
      </c>
      <c r="F89">
        <v>85</v>
      </c>
      <c r="G89">
        <v>33</v>
      </c>
      <c r="H89">
        <v>50</v>
      </c>
      <c r="I89" s="1">
        <v>1.8</v>
      </c>
      <c r="J89" s="2">
        <v>45357</v>
      </c>
      <c r="K89" s="2">
        <v>45488</v>
      </c>
      <c r="L89" s="2">
        <v>45678</v>
      </c>
      <c r="M89" t="s">
        <v>429</v>
      </c>
      <c r="N89">
        <v>64</v>
      </c>
      <c r="O89">
        <v>38</v>
      </c>
      <c r="P89" t="s">
        <v>26</v>
      </c>
      <c r="Q89" t="str">
        <f t="shared" si="7"/>
        <v>OK</v>
      </c>
      <c r="R89" s="3">
        <f t="shared" si="5"/>
        <v>153</v>
      </c>
      <c r="S89">
        <f t="shared" si="4"/>
        <v>0</v>
      </c>
      <c r="T89" t="str">
        <f t="shared" si="6"/>
        <v>Sufficient Stock</v>
      </c>
    </row>
    <row r="90" spans="1:20" x14ac:dyDescent="0.3">
      <c r="A90" t="s">
        <v>430</v>
      </c>
      <c r="B90" t="s">
        <v>113</v>
      </c>
      <c r="C90" t="s">
        <v>64</v>
      </c>
      <c r="D90" t="s">
        <v>431</v>
      </c>
      <c r="E90" t="s">
        <v>432</v>
      </c>
      <c r="F90">
        <v>29</v>
      </c>
      <c r="G90">
        <v>4</v>
      </c>
      <c r="H90">
        <v>17</v>
      </c>
      <c r="I90" s="1">
        <v>8</v>
      </c>
      <c r="J90" s="2">
        <v>45676</v>
      </c>
      <c r="K90" s="2">
        <v>45609</v>
      </c>
      <c r="L90" s="2">
        <v>45460</v>
      </c>
      <c r="M90" t="s">
        <v>433</v>
      </c>
      <c r="N90">
        <v>59</v>
      </c>
      <c r="O90">
        <v>52</v>
      </c>
      <c r="P90" t="s">
        <v>44</v>
      </c>
      <c r="Q90" t="str">
        <f t="shared" si="7"/>
        <v>Expiry before Received</v>
      </c>
      <c r="R90" s="3">
        <f t="shared" si="5"/>
        <v>232</v>
      </c>
      <c r="S90">
        <f t="shared" si="4"/>
        <v>0</v>
      </c>
      <c r="T90" t="str">
        <f t="shared" si="6"/>
        <v>Sufficient Stock</v>
      </c>
    </row>
    <row r="91" spans="1:20" x14ac:dyDescent="0.3">
      <c r="A91" t="s">
        <v>434</v>
      </c>
      <c r="B91" t="s">
        <v>435</v>
      </c>
      <c r="C91" t="s">
        <v>58</v>
      </c>
      <c r="D91" t="s">
        <v>436</v>
      </c>
      <c r="E91" t="s">
        <v>437</v>
      </c>
      <c r="F91">
        <v>64</v>
      </c>
      <c r="G91">
        <v>21</v>
      </c>
      <c r="H91">
        <v>13</v>
      </c>
      <c r="I91" s="1">
        <v>4</v>
      </c>
      <c r="J91" s="2">
        <v>45687</v>
      </c>
      <c r="K91" s="2">
        <v>45576</v>
      </c>
      <c r="L91" s="2">
        <v>45612</v>
      </c>
      <c r="M91" t="s">
        <v>438</v>
      </c>
      <c r="N91">
        <v>51</v>
      </c>
      <c r="O91">
        <v>26</v>
      </c>
      <c r="P91" t="s">
        <v>38</v>
      </c>
      <c r="Q91" t="str">
        <f t="shared" si="7"/>
        <v>Expiry before Received</v>
      </c>
      <c r="R91" s="3">
        <f t="shared" si="5"/>
        <v>256</v>
      </c>
      <c r="S91">
        <f t="shared" si="4"/>
        <v>0</v>
      </c>
      <c r="T91" t="str">
        <f t="shared" si="6"/>
        <v>Sufficient Stock</v>
      </c>
    </row>
    <row r="92" spans="1:20" x14ac:dyDescent="0.3">
      <c r="A92" t="s">
        <v>439</v>
      </c>
      <c r="B92" t="s">
        <v>440</v>
      </c>
      <c r="C92" t="s">
        <v>47</v>
      </c>
      <c r="D92" t="s">
        <v>441</v>
      </c>
      <c r="E92" t="s">
        <v>442</v>
      </c>
      <c r="F92">
        <v>66</v>
      </c>
      <c r="G92">
        <v>40</v>
      </c>
      <c r="H92">
        <v>96</v>
      </c>
      <c r="I92" s="1">
        <v>10</v>
      </c>
      <c r="J92" s="2">
        <v>45350</v>
      </c>
      <c r="K92" s="2">
        <v>45465</v>
      </c>
      <c r="L92" s="2">
        <v>45694</v>
      </c>
      <c r="M92" t="s">
        <v>443</v>
      </c>
      <c r="N92">
        <v>24</v>
      </c>
      <c r="O92">
        <v>61</v>
      </c>
      <c r="P92" t="s">
        <v>44</v>
      </c>
      <c r="Q92" t="str">
        <f t="shared" si="7"/>
        <v>OK</v>
      </c>
      <c r="R92" s="3">
        <f t="shared" si="5"/>
        <v>660</v>
      </c>
      <c r="S92">
        <f t="shared" si="4"/>
        <v>0</v>
      </c>
      <c r="T92" t="str">
        <f t="shared" si="6"/>
        <v>Sufficient Stock</v>
      </c>
    </row>
    <row r="93" spans="1:20" x14ac:dyDescent="0.3">
      <c r="A93" t="s">
        <v>444</v>
      </c>
      <c r="B93" t="s">
        <v>445</v>
      </c>
      <c r="C93" t="s">
        <v>89</v>
      </c>
      <c r="D93" t="s">
        <v>446</v>
      </c>
      <c r="E93" t="s">
        <v>447</v>
      </c>
      <c r="F93">
        <v>75</v>
      </c>
      <c r="G93">
        <v>81</v>
      </c>
      <c r="H93">
        <v>17</v>
      </c>
      <c r="I93" s="1">
        <v>5</v>
      </c>
      <c r="J93" s="2">
        <v>45482</v>
      </c>
      <c r="K93" s="2">
        <v>45705</v>
      </c>
      <c r="L93" s="2">
        <v>45708</v>
      </c>
      <c r="M93" t="s">
        <v>448</v>
      </c>
      <c r="N93">
        <v>69</v>
      </c>
      <c r="O93">
        <v>38</v>
      </c>
      <c r="P93" t="s">
        <v>44</v>
      </c>
      <c r="Q93" t="str">
        <f t="shared" si="7"/>
        <v>OK</v>
      </c>
      <c r="R93" s="3">
        <f t="shared" si="5"/>
        <v>375</v>
      </c>
      <c r="S93">
        <f t="shared" si="4"/>
        <v>6</v>
      </c>
      <c r="T93" t="str">
        <f t="shared" si="6"/>
        <v>Reorder Required</v>
      </c>
    </row>
    <row r="94" spans="1:20" x14ac:dyDescent="0.3">
      <c r="A94" t="s">
        <v>449</v>
      </c>
      <c r="B94" t="s">
        <v>450</v>
      </c>
      <c r="C94" t="s">
        <v>64</v>
      </c>
      <c r="D94" t="s">
        <v>451</v>
      </c>
      <c r="E94" t="s">
        <v>452</v>
      </c>
      <c r="F94">
        <v>53</v>
      </c>
      <c r="G94">
        <v>63</v>
      </c>
      <c r="H94">
        <v>2</v>
      </c>
      <c r="I94" s="1">
        <v>9</v>
      </c>
      <c r="J94" s="2">
        <v>45506</v>
      </c>
      <c r="K94" s="2">
        <v>45577</v>
      </c>
      <c r="L94" s="2">
        <v>45371</v>
      </c>
      <c r="M94" t="s">
        <v>453</v>
      </c>
      <c r="N94">
        <v>56</v>
      </c>
      <c r="O94">
        <v>95</v>
      </c>
      <c r="P94" t="s">
        <v>44</v>
      </c>
      <c r="Q94" t="str">
        <f t="shared" si="7"/>
        <v>Expiry before Received</v>
      </c>
      <c r="R94" s="3">
        <f t="shared" si="5"/>
        <v>477</v>
      </c>
      <c r="S94">
        <f t="shared" si="4"/>
        <v>10</v>
      </c>
      <c r="T94" t="str">
        <f t="shared" si="6"/>
        <v>Reorder Required</v>
      </c>
    </row>
    <row r="95" spans="1:20" x14ac:dyDescent="0.3">
      <c r="A95" t="s">
        <v>454</v>
      </c>
      <c r="B95" t="s">
        <v>455</v>
      </c>
      <c r="C95" t="s">
        <v>58</v>
      </c>
      <c r="D95" t="s">
        <v>456</v>
      </c>
      <c r="E95" t="s">
        <v>85</v>
      </c>
      <c r="F95">
        <v>43</v>
      </c>
      <c r="G95">
        <v>63</v>
      </c>
      <c r="H95">
        <v>80</v>
      </c>
      <c r="I95" s="1">
        <v>1.8</v>
      </c>
      <c r="J95" s="2">
        <v>45466</v>
      </c>
      <c r="K95" s="2">
        <v>45504</v>
      </c>
      <c r="L95" s="2">
        <v>45699</v>
      </c>
      <c r="M95" t="s">
        <v>457</v>
      </c>
      <c r="N95">
        <v>33</v>
      </c>
      <c r="O95">
        <v>96</v>
      </c>
      <c r="P95" t="s">
        <v>26</v>
      </c>
      <c r="Q95" t="str">
        <f t="shared" si="7"/>
        <v>OK</v>
      </c>
      <c r="R95" s="3">
        <f t="shared" si="5"/>
        <v>77.400000000000006</v>
      </c>
      <c r="S95">
        <f t="shared" si="4"/>
        <v>20</v>
      </c>
      <c r="T95" t="str">
        <f t="shared" si="6"/>
        <v>Reorder Required</v>
      </c>
    </row>
    <row r="96" spans="1:20" x14ac:dyDescent="0.3">
      <c r="A96" t="s">
        <v>458</v>
      </c>
      <c r="B96" t="s">
        <v>354</v>
      </c>
      <c r="C96" t="s">
        <v>47</v>
      </c>
      <c r="D96" t="s">
        <v>459</v>
      </c>
      <c r="E96" t="s">
        <v>460</v>
      </c>
      <c r="F96">
        <v>74</v>
      </c>
      <c r="G96">
        <v>30</v>
      </c>
      <c r="H96">
        <v>24</v>
      </c>
      <c r="I96" s="1">
        <v>3</v>
      </c>
      <c r="J96" s="2">
        <v>45513</v>
      </c>
      <c r="K96" s="2">
        <v>45578</v>
      </c>
      <c r="L96" s="2">
        <v>45504</v>
      </c>
      <c r="M96" t="s">
        <v>461</v>
      </c>
      <c r="N96">
        <v>82</v>
      </c>
      <c r="O96">
        <v>12</v>
      </c>
      <c r="P96" t="s">
        <v>44</v>
      </c>
      <c r="Q96" t="str">
        <f t="shared" si="7"/>
        <v>Expiry before Received</v>
      </c>
      <c r="R96" s="3">
        <f t="shared" si="5"/>
        <v>222</v>
      </c>
      <c r="S96">
        <f t="shared" si="4"/>
        <v>0</v>
      </c>
      <c r="T96" t="str">
        <f t="shared" si="6"/>
        <v>Sufficient Stock</v>
      </c>
    </row>
    <row r="97" spans="1:20" x14ac:dyDescent="0.3">
      <c r="A97" t="s">
        <v>462</v>
      </c>
      <c r="B97" t="s">
        <v>463</v>
      </c>
      <c r="C97" t="s">
        <v>47</v>
      </c>
      <c r="D97" t="s">
        <v>464</v>
      </c>
      <c r="E97" t="s">
        <v>271</v>
      </c>
      <c r="F97">
        <v>27</v>
      </c>
      <c r="G97">
        <v>22</v>
      </c>
      <c r="H97">
        <v>89</v>
      </c>
      <c r="I97" s="1">
        <v>7</v>
      </c>
      <c r="J97" s="2">
        <v>45413</v>
      </c>
      <c r="K97" s="2">
        <v>45501</v>
      </c>
      <c r="L97" s="2">
        <v>45432</v>
      </c>
      <c r="M97" t="s">
        <v>465</v>
      </c>
      <c r="N97">
        <v>91</v>
      </c>
      <c r="O97">
        <v>77</v>
      </c>
      <c r="P97" t="s">
        <v>26</v>
      </c>
      <c r="Q97" t="str">
        <f t="shared" si="7"/>
        <v>OK</v>
      </c>
      <c r="R97" s="3">
        <f t="shared" si="5"/>
        <v>189</v>
      </c>
      <c r="S97">
        <f t="shared" si="4"/>
        <v>0</v>
      </c>
      <c r="T97" t="str">
        <f t="shared" si="6"/>
        <v>Sufficient Stock</v>
      </c>
    </row>
    <row r="98" spans="1:20" x14ac:dyDescent="0.3">
      <c r="A98" t="s">
        <v>466</v>
      </c>
      <c r="B98" t="s">
        <v>467</v>
      </c>
      <c r="C98" t="s">
        <v>22</v>
      </c>
      <c r="D98" t="s">
        <v>468</v>
      </c>
      <c r="E98" t="s">
        <v>469</v>
      </c>
      <c r="F98">
        <v>91</v>
      </c>
      <c r="G98">
        <v>73</v>
      </c>
      <c r="H98">
        <v>77</v>
      </c>
      <c r="I98" s="1">
        <v>4.75</v>
      </c>
      <c r="J98" s="2">
        <v>45689</v>
      </c>
      <c r="K98" s="2">
        <v>45528</v>
      </c>
      <c r="L98" s="2">
        <v>45633</v>
      </c>
      <c r="M98" t="s">
        <v>470</v>
      </c>
      <c r="N98">
        <v>51</v>
      </c>
      <c r="O98">
        <v>49</v>
      </c>
      <c r="P98" t="s">
        <v>26</v>
      </c>
      <c r="Q98" t="str">
        <f t="shared" si="7"/>
        <v>Expiry before Received</v>
      </c>
      <c r="R98" s="3">
        <f t="shared" si="5"/>
        <v>432.25</v>
      </c>
      <c r="S98">
        <f t="shared" si="4"/>
        <v>0</v>
      </c>
      <c r="T98" t="str">
        <f t="shared" si="6"/>
        <v>Sufficient Stock</v>
      </c>
    </row>
    <row r="99" spans="1:20" x14ac:dyDescent="0.3">
      <c r="A99" t="s">
        <v>471</v>
      </c>
      <c r="B99" t="s">
        <v>472</v>
      </c>
      <c r="C99" t="s">
        <v>22</v>
      </c>
      <c r="D99" t="s">
        <v>473</v>
      </c>
      <c r="E99" t="s">
        <v>110</v>
      </c>
      <c r="F99">
        <v>52</v>
      </c>
      <c r="G99">
        <v>81</v>
      </c>
      <c r="H99">
        <v>53</v>
      </c>
      <c r="I99" s="1">
        <v>2</v>
      </c>
      <c r="J99" s="2">
        <v>45532</v>
      </c>
      <c r="K99" s="2">
        <v>45623</v>
      </c>
      <c r="L99" s="2">
        <v>45712</v>
      </c>
      <c r="M99" t="s">
        <v>474</v>
      </c>
      <c r="N99">
        <v>95</v>
      </c>
      <c r="O99">
        <v>88</v>
      </c>
      <c r="P99" t="s">
        <v>38</v>
      </c>
      <c r="Q99" t="str">
        <f t="shared" si="7"/>
        <v>OK</v>
      </c>
      <c r="R99" s="3">
        <f t="shared" si="5"/>
        <v>104</v>
      </c>
      <c r="S99">
        <f t="shared" si="4"/>
        <v>29</v>
      </c>
      <c r="T99" t="str">
        <f t="shared" si="6"/>
        <v>Reorder Required</v>
      </c>
    </row>
    <row r="100" spans="1:20" x14ac:dyDescent="0.3">
      <c r="A100" t="s">
        <v>475</v>
      </c>
      <c r="B100" t="s">
        <v>214</v>
      </c>
      <c r="C100" t="s">
        <v>47</v>
      </c>
      <c r="D100" t="s">
        <v>476</v>
      </c>
      <c r="E100" t="s">
        <v>477</v>
      </c>
      <c r="F100">
        <v>43</v>
      </c>
      <c r="G100">
        <v>66</v>
      </c>
      <c r="H100">
        <v>85</v>
      </c>
      <c r="I100" s="1">
        <v>2.5</v>
      </c>
      <c r="J100" s="2">
        <v>45402</v>
      </c>
      <c r="K100" s="2">
        <v>45549</v>
      </c>
      <c r="L100" s="2">
        <v>45401</v>
      </c>
      <c r="M100" t="s">
        <v>478</v>
      </c>
      <c r="N100">
        <v>66</v>
      </c>
      <c r="O100">
        <v>65</v>
      </c>
      <c r="P100" t="s">
        <v>26</v>
      </c>
      <c r="Q100" t="str">
        <f t="shared" si="7"/>
        <v>Expiry before Received</v>
      </c>
      <c r="R100" s="3">
        <f t="shared" si="5"/>
        <v>107.5</v>
      </c>
      <c r="S100">
        <f t="shared" si="4"/>
        <v>23</v>
      </c>
      <c r="T100" t="str">
        <f t="shared" si="6"/>
        <v>Reorder Required</v>
      </c>
    </row>
    <row r="101" spans="1:20" x14ac:dyDescent="0.3">
      <c r="A101" t="s">
        <v>479</v>
      </c>
      <c r="B101" t="s">
        <v>243</v>
      </c>
      <c r="C101" t="s">
        <v>89</v>
      </c>
      <c r="D101" t="s">
        <v>480</v>
      </c>
      <c r="E101" t="s">
        <v>481</v>
      </c>
      <c r="F101">
        <v>56</v>
      </c>
      <c r="G101">
        <v>86</v>
      </c>
      <c r="H101">
        <v>23</v>
      </c>
      <c r="I101" s="1">
        <v>3.2</v>
      </c>
      <c r="J101" s="2">
        <v>45397</v>
      </c>
      <c r="K101" s="2">
        <v>45411</v>
      </c>
      <c r="L101" s="2">
        <v>45391</v>
      </c>
      <c r="M101" t="s">
        <v>482</v>
      </c>
      <c r="N101">
        <v>67</v>
      </c>
      <c r="O101">
        <v>56</v>
      </c>
      <c r="P101" t="s">
        <v>38</v>
      </c>
      <c r="Q101" t="str">
        <f t="shared" si="7"/>
        <v>Expiry before Received</v>
      </c>
      <c r="R101" s="3">
        <f t="shared" si="5"/>
        <v>179.20000000000002</v>
      </c>
      <c r="S101">
        <f t="shared" si="4"/>
        <v>30</v>
      </c>
      <c r="T101" t="str">
        <f t="shared" si="6"/>
        <v>Reorder Required</v>
      </c>
    </row>
    <row r="102" spans="1:20" x14ac:dyDescent="0.3">
      <c r="A102" t="s">
        <v>483</v>
      </c>
      <c r="B102" t="s">
        <v>328</v>
      </c>
      <c r="C102" t="s">
        <v>64</v>
      </c>
      <c r="D102" t="s">
        <v>484</v>
      </c>
      <c r="E102" t="s">
        <v>485</v>
      </c>
      <c r="F102">
        <v>66</v>
      </c>
      <c r="G102">
        <v>40</v>
      </c>
      <c r="H102">
        <v>8</v>
      </c>
      <c r="I102" s="1">
        <v>6</v>
      </c>
      <c r="J102" s="2">
        <v>45623</v>
      </c>
      <c r="K102" s="2">
        <v>45675</v>
      </c>
      <c r="L102" s="2">
        <v>45663</v>
      </c>
      <c r="M102" t="s">
        <v>486</v>
      </c>
      <c r="N102">
        <v>43</v>
      </c>
      <c r="O102">
        <v>49</v>
      </c>
      <c r="P102" t="s">
        <v>44</v>
      </c>
      <c r="Q102" t="str">
        <f t="shared" si="7"/>
        <v>OK</v>
      </c>
      <c r="R102" s="3">
        <f t="shared" si="5"/>
        <v>396</v>
      </c>
      <c r="S102">
        <f t="shared" si="4"/>
        <v>0</v>
      </c>
      <c r="T102" t="str">
        <f t="shared" si="6"/>
        <v>Sufficient Stock</v>
      </c>
    </row>
    <row r="103" spans="1:20" x14ac:dyDescent="0.3">
      <c r="A103" t="s">
        <v>487</v>
      </c>
      <c r="B103" t="s">
        <v>108</v>
      </c>
      <c r="C103" t="s">
        <v>22</v>
      </c>
      <c r="D103" t="s">
        <v>488</v>
      </c>
      <c r="E103" t="s">
        <v>489</v>
      </c>
      <c r="F103">
        <v>84</v>
      </c>
      <c r="G103">
        <v>92</v>
      </c>
      <c r="H103">
        <v>18</v>
      </c>
      <c r="I103" s="1">
        <v>1.5</v>
      </c>
      <c r="J103" s="2">
        <v>45594</v>
      </c>
      <c r="K103" s="2">
        <v>45655</v>
      </c>
      <c r="L103" s="2">
        <v>45347</v>
      </c>
      <c r="M103" t="s">
        <v>490</v>
      </c>
      <c r="N103">
        <v>92</v>
      </c>
      <c r="O103">
        <v>69</v>
      </c>
      <c r="P103" t="s">
        <v>44</v>
      </c>
      <c r="Q103" t="str">
        <f t="shared" si="7"/>
        <v>Expiry before Received</v>
      </c>
      <c r="R103" s="3">
        <f t="shared" si="5"/>
        <v>126</v>
      </c>
      <c r="S103">
        <f t="shared" si="4"/>
        <v>8</v>
      </c>
      <c r="T103" t="str">
        <f t="shared" si="6"/>
        <v>Reorder Required</v>
      </c>
    </row>
    <row r="104" spans="1:20" x14ac:dyDescent="0.3">
      <c r="A104" t="s">
        <v>491</v>
      </c>
      <c r="B104" t="s">
        <v>492</v>
      </c>
      <c r="C104" t="s">
        <v>64</v>
      </c>
      <c r="D104" t="s">
        <v>493</v>
      </c>
      <c r="E104" t="s">
        <v>198</v>
      </c>
      <c r="F104">
        <v>37</v>
      </c>
      <c r="G104">
        <v>5</v>
      </c>
      <c r="H104">
        <v>1</v>
      </c>
      <c r="I104" s="1">
        <v>5</v>
      </c>
      <c r="J104" s="2">
        <v>45659</v>
      </c>
      <c r="K104" s="2">
        <v>45348</v>
      </c>
      <c r="L104" s="2">
        <v>45624</v>
      </c>
      <c r="M104" t="s">
        <v>494</v>
      </c>
      <c r="N104">
        <v>68</v>
      </c>
      <c r="O104">
        <v>99</v>
      </c>
      <c r="P104" t="s">
        <v>44</v>
      </c>
      <c r="Q104" t="str">
        <f t="shared" si="7"/>
        <v>Expiry before Received</v>
      </c>
      <c r="R104" s="3">
        <f t="shared" si="5"/>
        <v>185</v>
      </c>
      <c r="S104">
        <f t="shared" si="4"/>
        <v>0</v>
      </c>
      <c r="T104" t="str">
        <f t="shared" si="6"/>
        <v>Sufficient Stock</v>
      </c>
    </row>
    <row r="105" spans="1:20" x14ac:dyDescent="0.3">
      <c r="A105" t="s">
        <v>495</v>
      </c>
      <c r="B105" t="s">
        <v>496</v>
      </c>
      <c r="C105" t="s">
        <v>64</v>
      </c>
      <c r="D105" t="s">
        <v>497</v>
      </c>
      <c r="E105" t="s">
        <v>498</v>
      </c>
      <c r="F105">
        <v>29</v>
      </c>
      <c r="G105">
        <v>36</v>
      </c>
      <c r="H105">
        <v>40</v>
      </c>
      <c r="I105" s="1">
        <v>4</v>
      </c>
      <c r="J105" s="2">
        <v>45604</v>
      </c>
      <c r="K105" s="2">
        <v>45381</v>
      </c>
      <c r="L105" s="2">
        <v>45542</v>
      </c>
      <c r="M105" t="s">
        <v>499</v>
      </c>
      <c r="N105">
        <v>60</v>
      </c>
      <c r="O105">
        <v>96</v>
      </c>
      <c r="P105" t="s">
        <v>38</v>
      </c>
      <c r="Q105" t="str">
        <f t="shared" si="7"/>
        <v>Expiry before Received</v>
      </c>
      <c r="R105" s="3">
        <f t="shared" si="5"/>
        <v>116</v>
      </c>
      <c r="S105">
        <f t="shared" si="4"/>
        <v>7</v>
      </c>
      <c r="T105" t="str">
        <f t="shared" si="6"/>
        <v>Reorder Required</v>
      </c>
    </row>
    <row r="106" spans="1:20" x14ac:dyDescent="0.3">
      <c r="A106" t="s">
        <v>500</v>
      </c>
      <c r="B106" t="s">
        <v>501</v>
      </c>
      <c r="C106" t="s">
        <v>22</v>
      </c>
      <c r="D106" t="s">
        <v>502</v>
      </c>
      <c r="E106" t="s">
        <v>178</v>
      </c>
      <c r="F106">
        <v>13</v>
      </c>
      <c r="G106">
        <v>88</v>
      </c>
      <c r="H106">
        <v>7</v>
      </c>
      <c r="I106" s="1">
        <v>9.5</v>
      </c>
      <c r="J106" s="2">
        <v>45501</v>
      </c>
      <c r="K106" s="2">
        <v>45427</v>
      </c>
      <c r="L106" s="2">
        <v>45476</v>
      </c>
      <c r="M106" t="s">
        <v>503</v>
      </c>
      <c r="N106">
        <v>24</v>
      </c>
      <c r="O106">
        <v>21</v>
      </c>
      <c r="P106" t="s">
        <v>38</v>
      </c>
      <c r="Q106" t="str">
        <f t="shared" si="7"/>
        <v>Expiry before Received</v>
      </c>
      <c r="R106" s="3">
        <f t="shared" si="5"/>
        <v>123.5</v>
      </c>
      <c r="S106">
        <f t="shared" si="4"/>
        <v>75</v>
      </c>
      <c r="T106" t="str">
        <f t="shared" si="6"/>
        <v>Reorder Required</v>
      </c>
    </row>
    <row r="107" spans="1:20" x14ac:dyDescent="0.3">
      <c r="A107" t="s">
        <v>504</v>
      </c>
      <c r="B107" t="s">
        <v>229</v>
      </c>
      <c r="C107" t="s">
        <v>47</v>
      </c>
      <c r="D107" t="s">
        <v>505</v>
      </c>
      <c r="E107" t="s">
        <v>154</v>
      </c>
      <c r="F107">
        <v>63</v>
      </c>
      <c r="G107">
        <v>81</v>
      </c>
      <c r="H107">
        <v>94</v>
      </c>
      <c r="I107" s="1">
        <v>2.5</v>
      </c>
      <c r="J107" s="2">
        <v>45447</v>
      </c>
      <c r="K107" s="2">
        <v>45402</v>
      </c>
      <c r="L107" s="2">
        <v>45615</v>
      </c>
      <c r="M107" t="s">
        <v>506</v>
      </c>
      <c r="N107">
        <v>56</v>
      </c>
      <c r="O107">
        <v>2</v>
      </c>
      <c r="P107" t="s">
        <v>44</v>
      </c>
      <c r="Q107" t="str">
        <f t="shared" si="7"/>
        <v>Last Order before Received</v>
      </c>
      <c r="R107" s="3">
        <f t="shared" si="5"/>
        <v>157.5</v>
      </c>
      <c r="S107">
        <f t="shared" si="4"/>
        <v>18</v>
      </c>
      <c r="T107" t="str">
        <f t="shared" si="6"/>
        <v>Reorder Required</v>
      </c>
    </row>
    <row r="108" spans="1:20" x14ac:dyDescent="0.3">
      <c r="A108" t="s">
        <v>507</v>
      </c>
      <c r="B108" t="s">
        <v>508</v>
      </c>
      <c r="C108" t="s">
        <v>132</v>
      </c>
      <c r="D108" t="s">
        <v>509</v>
      </c>
      <c r="E108" t="s">
        <v>258</v>
      </c>
      <c r="F108">
        <v>95</v>
      </c>
      <c r="G108">
        <v>63</v>
      </c>
      <c r="H108">
        <v>73</v>
      </c>
      <c r="I108" s="1">
        <v>7</v>
      </c>
      <c r="J108" s="2">
        <v>45613</v>
      </c>
      <c r="K108" s="2">
        <v>45448</v>
      </c>
      <c r="L108" s="2">
        <v>45359</v>
      </c>
      <c r="M108" t="s">
        <v>510</v>
      </c>
      <c r="N108">
        <v>61</v>
      </c>
      <c r="O108">
        <v>38</v>
      </c>
      <c r="P108" t="s">
        <v>38</v>
      </c>
      <c r="Q108" t="str">
        <f t="shared" si="7"/>
        <v>Expiry before Received</v>
      </c>
      <c r="R108" s="3">
        <f t="shared" si="5"/>
        <v>665</v>
      </c>
      <c r="S108">
        <f t="shared" si="4"/>
        <v>0</v>
      </c>
      <c r="T108" t="str">
        <f t="shared" si="6"/>
        <v>Sufficient Stock</v>
      </c>
    </row>
    <row r="109" spans="1:20" x14ac:dyDescent="0.3">
      <c r="A109" t="s">
        <v>511</v>
      </c>
      <c r="B109" t="s">
        <v>512</v>
      </c>
      <c r="C109" t="s">
        <v>47</v>
      </c>
      <c r="D109" t="s">
        <v>513</v>
      </c>
      <c r="E109" t="s">
        <v>514</v>
      </c>
      <c r="F109">
        <v>58</v>
      </c>
      <c r="G109">
        <v>5</v>
      </c>
      <c r="H109">
        <v>1</v>
      </c>
      <c r="I109" s="1">
        <v>2</v>
      </c>
      <c r="J109" s="2">
        <v>45567</v>
      </c>
      <c r="K109" s="2">
        <v>45579</v>
      </c>
      <c r="L109" s="2">
        <v>45388</v>
      </c>
      <c r="M109" t="s">
        <v>515</v>
      </c>
      <c r="N109">
        <v>53</v>
      </c>
      <c r="O109">
        <v>80</v>
      </c>
      <c r="P109" t="s">
        <v>44</v>
      </c>
      <c r="Q109" t="str">
        <f t="shared" si="7"/>
        <v>Expiry before Received</v>
      </c>
      <c r="R109" s="3">
        <f t="shared" si="5"/>
        <v>116</v>
      </c>
      <c r="S109">
        <f t="shared" si="4"/>
        <v>0</v>
      </c>
      <c r="T109" t="str">
        <f t="shared" si="6"/>
        <v>Sufficient Stock</v>
      </c>
    </row>
    <row r="110" spans="1:20" x14ac:dyDescent="0.3">
      <c r="A110" t="s">
        <v>516</v>
      </c>
      <c r="B110" t="s">
        <v>435</v>
      </c>
      <c r="C110" t="s">
        <v>58</v>
      </c>
      <c r="D110" t="s">
        <v>517</v>
      </c>
      <c r="E110" t="s">
        <v>518</v>
      </c>
      <c r="F110">
        <v>57</v>
      </c>
      <c r="G110">
        <v>36</v>
      </c>
      <c r="H110">
        <v>53</v>
      </c>
      <c r="I110" s="1">
        <v>4</v>
      </c>
      <c r="J110" s="2">
        <v>45447</v>
      </c>
      <c r="K110" s="2">
        <v>45459</v>
      </c>
      <c r="L110" s="2">
        <v>45379</v>
      </c>
      <c r="M110" t="s">
        <v>519</v>
      </c>
      <c r="N110">
        <v>56</v>
      </c>
      <c r="O110">
        <v>32</v>
      </c>
      <c r="P110" t="s">
        <v>38</v>
      </c>
      <c r="Q110" t="str">
        <f t="shared" si="7"/>
        <v>Expiry before Received</v>
      </c>
      <c r="R110" s="3">
        <f t="shared" si="5"/>
        <v>228</v>
      </c>
      <c r="S110">
        <f t="shared" si="4"/>
        <v>0</v>
      </c>
      <c r="T110" t="str">
        <f t="shared" si="6"/>
        <v>Sufficient Stock</v>
      </c>
    </row>
    <row r="111" spans="1:20" x14ac:dyDescent="0.3">
      <c r="A111" t="s">
        <v>520</v>
      </c>
      <c r="B111" t="s">
        <v>302</v>
      </c>
      <c r="C111" t="s">
        <v>132</v>
      </c>
      <c r="D111" t="s">
        <v>521</v>
      </c>
      <c r="E111" t="s">
        <v>522</v>
      </c>
      <c r="F111">
        <v>33</v>
      </c>
      <c r="G111">
        <v>18</v>
      </c>
      <c r="H111">
        <v>92</v>
      </c>
      <c r="I111" s="1">
        <v>6</v>
      </c>
      <c r="J111" s="2">
        <v>45446</v>
      </c>
      <c r="K111" s="2">
        <v>45561</v>
      </c>
      <c r="L111" s="2">
        <v>45491</v>
      </c>
      <c r="M111" t="s">
        <v>523</v>
      </c>
      <c r="N111">
        <v>98</v>
      </c>
      <c r="O111">
        <v>56</v>
      </c>
      <c r="P111" t="s">
        <v>26</v>
      </c>
      <c r="Q111" t="str">
        <f t="shared" si="7"/>
        <v>OK</v>
      </c>
      <c r="R111" s="3">
        <f t="shared" si="5"/>
        <v>198</v>
      </c>
      <c r="S111">
        <f t="shared" si="4"/>
        <v>0</v>
      </c>
      <c r="T111" t="str">
        <f t="shared" si="6"/>
        <v>Sufficient Stock</v>
      </c>
    </row>
    <row r="112" spans="1:20" x14ac:dyDescent="0.3">
      <c r="A112" t="s">
        <v>524</v>
      </c>
      <c r="B112" t="s">
        <v>28</v>
      </c>
      <c r="C112" t="s">
        <v>29</v>
      </c>
      <c r="D112" t="s">
        <v>525</v>
      </c>
      <c r="E112" t="s">
        <v>95</v>
      </c>
      <c r="F112">
        <v>62</v>
      </c>
      <c r="G112">
        <v>89</v>
      </c>
      <c r="H112">
        <v>6</v>
      </c>
      <c r="I112" s="1">
        <v>20</v>
      </c>
      <c r="J112" s="2">
        <v>45543</v>
      </c>
      <c r="K112" s="2">
        <v>45449</v>
      </c>
      <c r="L112" s="2">
        <v>45672</v>
      </c>
      <c r="M112" t="s">
        <v>526</v>
      </c>
      <c r="N112">
        <v>23</v>
      </c>
      <c r="O112">
        <v>11</v>
      </c>
      <c r="P112" t="s">
        <v>26</v>
      </c>
      <c r="Q112" t="str">
        <f t="shared" si="7"/>
        <v>Last Order before Received</v>
      </c>
      <c r="R112" s="3">
        <f t="shared" si="5"/>
        <v>1240</v>
      </c>
      <c r="S112">
        <f t="shared" si="4"/>
        <v>27</v>
      </c>
      <c r="T112" t="str">
        <f t="shared" si="6"/>
        <v>Reorder Required</v>
      </c>
    </row>
    <row r="113" spans="1:20" x14ac:dyDescent="0.3">
      <c r="A113" t="s">
        <v>527</v>
      </c>
      <c r="B113" t="s">
        <v>528</v>
      </c>
      <c r="C113" t="s">
        <v>47</v>
      </c>
      <c r="D113" t="s">
        <v>529</v>
      </c>
      <c r="E113" t="s">
        <v>154</v>
      </c>
      <c r="F113">
        <v>89</v>
      </c>
      <c r="G113">
        <v>57</v>
      </c>
      <c r="H113">
        <v>92</v>
      </c>
      <c r="I113" s="1">
        <v>5</v>
      </c>
      <c r="J113" s="2">
        <v>45519</v>
      </c>
      <c r="K113" s="2">
        <v>45457</v>
      </c>
      <c r="L113" s="2">
        <v>45649</v>
      </c>
      <c r="M113" t="s">
        <v>530</v>
      </c>
      <c r="N113">
        <v>38</v>
      </c>
      <c r="O113">
        <v>16</v>
      </c>
      <c r="P113" t="s">
        <v>44</v>
      </c>
      <c r="Q113" t="str">
        <f t="shared" si="7"/>
        <v>Last Order before Received</v>
      </c>
      <c r="R113" s="3">
        <f t="shared" si="5"/>
        <v>445</v>
      </c>
      <c r="S113">
        <f t="shared" si="4"/>
        <v>0</v>
      </c>
      <c r="T113" t="str">
        <f t="shared" si="6"/>
        <v>Sufficient Stock</v>
      </c>
    </row>
    <row r="114" spans="1:20" x14ac:dyDescent="0.3">
      <c r="A114" t="s">
        <v>531</v>
      </c>
      <c r="B114" t="s">
        <v>532</v>
      </c>
      <c r="C114" t="s">
        <v>132</v>
      </c>
      <c r="D114" t="s">
        <v>533</v>
      </c>
      <c r="E114" t="s">
        <v>534</v>
      </c>
      <c r="F114">
        <v>23</v>
      </c>
      <c r="G114">
        <v>42</v>
      </c>
      <c r="H114">
        <v>87</v>
      </c>
      <c r="I114" s="1">
        <v>8</v>
      </c>
      <c r="J114" s="2">
        <v>45689</v>
      </c>
      <c r="K114" s="2">
        <v>45488</v>
      </c>
      <c r="L114" s="2">
        <v>45375</v>
      </c>
      <c r="M114" t="s">
        <v>535</v>
      </c>
      <c r="N114">
        <v>63</v>
      </c>
      <c r="O114">
        <v>5</v>
      </c>
      <c r="P114" t="s">
        <v>38</v>
      </c>
      <c r="Q114" t="str">
        <f t="shared" si="7"/>
        <v>Expiry before Received</v>
      </c>
      <c r="R114" s="3">
        <f t="shared" si="5"/>
        <v>184</v>
      </c>
      <c r="S114">
        <f t="shared" si="4"/>
        <v>19</v>
      </c>
      <c r="T114" t="str">
        <f t="shared" si="6"/>
        <v>Reorder Required</v>
      </c>
    </row>
    <row r="115" spans="1:20" x14ac:dyDescent="0.3">
      <c r="A115" t="s">
        <v>536</v>
      </c>
      <c r="B115" t="s">
        <v>537</v>
      </c>
      <c r="C115" t="s">
        <v>47</v>
      </c>
      <c r="D115" t="s">
        <v>538</v>
      </c>
      <c r="E115" t="s">
        <v>36</v>
      </c>
      <c r="F115">
        <v>56</v>
      </c>
      <c r="G115">
        <v>12</v>
      </c>
      <c r="H115">
        <v>59</v>
      </c>
      <c r="I115" s="1">
        <v>98.43</v>
      </c>
      <c r="J115" s="2">
        <v>45552</v>
      </c>
      <c r="K115" s="2">
        <v>45531</v>
      </c>
      <c r="L115" s="2">
        <v>45690</v>
      </c>
      <c r="M115" t="s">
        <v>539</v>
      </c>
      <c r="N115">
        <v>35</v>
      </c>
      <c r="O115">
        <v>16</v>
      </c>
      <c r="P115" t="s">
        <v>44</v>
      </c>
      <c r="Q115" t="str">
        <f t="shared" si="7"/>
        <v>Last Order before Received</v>
      </c>
      <c r="R115" s="3">
        <f t="shared" si="5"/>
        <v>5512.08</v>
      </c>
      <c r="S115">
        <f t="shared" si="4"/>
        <v>0</v>
      </c>
      <c r="T115" t="str">
        <f t="shared" si="6"/>
        <v>Sufficient Stock</v>
      </c>
    </row>
    <row r="116" spans="1:20" x14ac:dyDescent="0.3">
      <c r="A116" t="s">
        <v>540</v>
      </c>
      <c r="B116" t="s">
        <v>34</v>
      </c>
      <c r="C116" t="s">
        <v>22</v>
      </c>
      <c r="D116" t="s">
        <v>541</v>
      </c>
      <c r="E116" t="s">
        <v>542</v>
      </c>
      <c r="F116">
        <v>86</v>
      </c>
      <c r="G116">
        <v>100</v>
      </c>
      <c r="H116">
        <v>74</v>
      </c>
      <c r="I116" s="1">
        <v>6.1</v>
      </c>
      <c r="J116" s="2">
        <v>45376</v>
      </c>
      <c r="K116" s="2">
        <v>45674</v>
      </c>
      <c r="L116" s="2">
        <v>45442</v>
      </c>
      <c r="M116" t="s">
        <v>543</v>
      </c>
      <c r="N116">
        <v>80</v>
      </c>
      <c r="O116">
        <v>94</v>
      </c>
      <c r="P116" t="s">
        <v>44</v>
      </c>
      <c r="Q116" t="str">
        <f t="shared" si="7"/>
        <v>OK</v>
      </c>
      <c r="R116" s="3">
        <f t="shared" si="5"/>
        <v>524.6</v>
      </c>
      <c r="S116">
        <f t="shared" si="4"/>
        <v>14</v>
      </c>
      <c r="T116" t="str">
        <f t="shared" si="6"/>
        <v>Reorder Required</v>
      </c>
    </row>
    <row r="117" spans="1:20" x14ac:dyDescent="0.3">
      <c r="A117" t="s">
        <v>544</v>
      </c>
      <c r="B117" t="s">
        <v>545</v>
      </c>
      <c r="C117" t="s">
        <v>47</v>
      </c>
      <c r="D117" t="s">
        <v>546</v>
      </c>
      <c r="E117" t="s">
        <v>547</v>
      </c>
      <c r="F117">
        <v>60</v>
      </c>
      <c r="G117">
        <v>61</v>
      </c>
      <c r="H117">
        <v>2</v>
      </c>
      <c r="I117" s="1">
        <v>6</v>
      </c>
      <c r="J117" s="2">
        <v>45425</v>
      </c>
      <c r="K117" s="2">
        <v>45516</v>
      </c>
      <c r="L117" s="2">
        <v>45531</v>
      </c>
      <c r="M117" t="s">
        <v>548</v>
      </c>
      <c r="N117">
        <v>96</v>
      </c>
      <c r="O117">
        <v>50</v>
      </c>
      <c r="P117" t="s">
        <v>44</v>
      </c>
      <c r="Q117" t="str">
        <f t="shared" si="7"/>
        <v>OK</v>
      </c>
      <c r="R117" s="3">
        <f t="shared" si="5"/>
        <v>360</v>
      </c>
      <c r="S117">
        <f t="shared" si="4"/>
        <v>1</v>
      </c>
      <c r="T117" t="str">
        <f t="shared" si="6"/>
        <v>Reorder Required</v>
      </c>
    </row>
    <row r="118" spans="1:20" x14ac:dyDescent="0.3">
      <c r="A118" t="s">
        <v>549</v>
      </c>
      <c r="B118" t="s">
        <v>181</v>
      </c>
      <c r="C118" t="s">
        <v>47</v>
      </c>
      <c r="D118" t="s">
        <v>550</v>
      </c>
      <c r="E118" t="s">
        <v>551</v>
      </c>
      <c r="F118">
        <v>70</v>
      </c>
      <c r="G118">
        <v>30</v>
      </c>
      <c r="H118">
        <v>69</v>
      </c>
      <c r="I118" s="1">
        <v>3.5</v>
      </c>
      <c r="J118" s="2">
        <v>45517</v>
      </c>
      <c r="K118" s="2">
        <v>45691</v>
      </c>
      <c r="L118" s="2">
        <v>45487</v>
      </c>
      <c r="M118" t="s">
        <v>552</v>
      </c>
      <c r="N118">
        <v>44</v>
      </c>
      <c r="O118">
        <v>42</v>
      </c>
      <c r="P118" t="s">
        <v>26</v>
      </c>
      <c r="Q118" t="str">
        <f t="shared" si="7"/>
        <v>Expiry before Received</v>
      </c>
      <c r="R118" s="3">
        <f t="shared" si="5"/>
        <v>245</v>
      </c>
      <c r="S118">
        <f t="shared" si="4"/>
        <v>0</v>
      </c>
      <c r="T118" t="str">
        <f t="shared" si="6"/>
        <v>Sufficient Stock</v>
      </c>
    </row>
    <row r="119" spans="1:20" x14ac:dyDescent="0.3">
      <c r="A119" t="s">
        <v>553</v>
      </c>
      <c r="B119" t="s">
        <v>554</v>
      </c>
      <c r="C119" t="s">
        <v>47</v>
      </c>
      <c r="D119" t="s">
        <v>555</v>
      </c>
      <c r="E119" t="s">
        <v>556</v>
      </c>
      <c r="F119">
        <v>47</v>
      </c>
      <c r="G119">
        <v>72</v>
      </c>
      <c r="H119">
        <v>73</v>
      </c>
      <c r="I119" s="1">
        <v>4</v>
      </c>
      <c r="J119" s="2">
        <v>45433</v>
      </c>
      <c r="K119" s="2">
        <v>45381</v>
      </c>
      <c r="L119" s="2">
        <v>45412</v>
      </c>
      <c r="M119" t="s">
        <v>557</v>
      </c>
      <c r="N119">
        <v>93</v>
      </c>
      <c r="O119">
        <v>27</v>
      </c>
      <c r="P119" t="s">
        <v>38</v>
      </c>
      <c r="Q119" t="str">
        <f t="shared" si="7"/>
        <v>Expiry before Received</v>
      </c>
      <c r="R119" s="3">
        <f t="shared" si="5"/>
        <v>188</v>
      </c>
      <c r="S119">
        <f t="shared" si="4"/>
        <v>25</v>
      </c>
      <c r="T119" t="str">
        <f t="shared" si="6"/>
        <v>Reorder Required</v>
      </c>
    </row>
    <row r="120" spans="1:20" x14ac:dyDescent="0.3">
      <c r="A120" t="s">
        <v>558</v>
      </c>
      <c r="B120" t="s">
        <v>385</v>
      </c>
      <c r="C120" t="s">
        <v>22</v>
      </c>
      <c r="D120" t="s">
        <v>559</v>
      </c>
      <c r="E120" t="s">
        <v>560</v>
      </c>
      <c r="F120">
        <v>95</v>
      </c>
      <c r="G120">
        <v>93</v>
      </c>
      <c r="H120">
        <v>16</v>
      </c>
      <c r="I120" s="1">
        <v>4.5</v>
      </c>
      <c r="J120" s="2">
        <v>45622</v>
      </c>
      <c r="K120" s="2">
        <v>45541</v>
      </c>
      <c r="L120" s="2">
        <v>45556</v>
      </c>
      <c r="M120" t="s">
        <v>561</v>
      </c>
      <c r="N120">
        <v>60</v>
      </c>
      <c r="O120">
        <v>19</v>
      </c>
      <c r="P120" t="s">
        <v>44</v>
      </c>
      <c r="Q120" t="str">
        <f t="shared" si="7"/>
        <v>Expiry before Received</v>
      </c>
      <c r="R120" s="3">
        <f t="shared" si="5"/>
        <v>427.5</v>
      </c>
      <c r="S120">
        <f t="shared" si="4"/>
        <v>0</v>
      </c>
      <c r="T120" t="str">
        <f t="shared" si="6"/>
        <v>Sufficient Stock</v>
      </c>
    </row>
    <row r="121" spans="1:20" x14ac:dyDescent="0.3">
      <c r="A121" t="s">
        <v>562</v>
      </c>
      <c r="B121" t="s">
        <v>46</v>
      </c>
      <c r="C121" t="s">
        <v>47</v>
      </c>
      <c r="D121" t="s">
        <v>563</v>
      </c>
      <c r="E121" t="s">
        <v>564</v>
      </c>
      <c r="F121">
        <v>20</v>
      </c>
      <c r="G121">
        <v>42</v>
      </c>
      <c r="H121">
        <v>21</v>
      </c>
      <c r="I121" s="1">
        <v>3.85</v>
      </c>
      <c r="J121" s="2">
        <v>45624</v>
      </c>
      <c r="K121" s="2">
        <v>45684</v>
      </c>
      <c r="L121" s="2">
        <v>45708</v>
      </c>
      <c r="M121" t="s">
        <v>565</v>
      </c>
      <c r="N121">
        <v>61</v>
      </c>
      <c r="O121">
        <v>25</v>
      </c>
      <c r="P121" t="s">
        <v>26</v>
      </c>
      <c r="Q121" t="str">
        <f t="shared" si="7"/>
        <v>OK</v>
      </c>
      <c r="R121" s="3">
        <f t="shared" si="5"/>
        <v>77</v>
      </c>
      <c r="S121">
        <f t="shared" si="4"/>
        <v>22</v>
      </c>
      <c r="T121" t="str">
        <f t="shared" si="6"/>
        <v>Reorder Required</v>
      </c>
    </row>
    <row r="122" spans="1:20" x14ac:dyDescent="0.3">
      <c r="A122" t="s">
        <v>566</v>
      </c>
      <c r="B122" t="s">
        <v>21</v>
      </c>
      <c r="C122" t="s">
        <v>22</v>
      </c>
      <c r="D122" t="s">
        <v>567</v>
      </c>
      <c r="E122" t="s">
        <v>568</v>
      </c>
      <c r="F122">
        <v>19</v>
      </c>
      <c r="G122">
        <v>17</v>
      </c>
      <c r="H122">
        <v>14</v>
      </c>
      <c r="I122" s="1">
        <v>4.3</v>
      </c>
      <c r="J122" s="2">
        <v>45534</v>
      </c>
      <c r="K122" s="2">
        <v>45472</v>
      </c>
      <c r="L122" s="2">
        <v>45361</v>
      </c>
      <c r="M122" t="s">
        <v>569</v>
      </c>
      <c r="N122">
        <v>58</v>
      </c>
      <c r="O122">
        <v>23</v>
      </c>
      <c r="P122" t="s">
        <v>44</v>
      </c>
      <c r="Q122" t="str">
        <f t="shared" si="7"/>
        <v>Expiry before Received</v>
      </c>
      <c r="R122" s="3">
        <f t="shared" si="5"/>
        <v>81.7</v>
      </c>
      <c r="S122">
        <f t="shared" si="4"/>
        <v>0</v>
      </c>
      <c r="T122" t="str">
        <f t="shared" si="6"/>
        <v>Sufficient Stock</v>
      </c>
    </row>
    <row r="123" spans="1:20" x14ac:dyDescent="0.3">
      <c r="A123" t="s">
        <v>570</v>
      </c>
      <c r="B123" t="s">
        <v>28</v>
      </c>
      <c r="C123" t="s">
        <v>29</v>
      </c>
      <c r="D123" t="s">
        <v>571</v>
      </c>
      <c r="E123" t="s">
        <v>469</v>
      </c>
      <c r="F123">
        <v>74</v>
      </c>
      <c r="G123">
        <v>72</v>
      </c>
      <c r="H123">
        <v>18</v>
      </c>
      <c r="I123" s="1">
        <v>21</v>
      </c>
      <c r="J123" s="2">
        <v>45611</v>
      </c>
      <c r="K123" s="2">
        <v>45349</v>
      </c>
      <c r="L123" s="2">
        <v>45693</v>
      </c>
      <c r="M123" t="s">
        <v>572</v>
      </c>
      <c r="N123">
        <v>83</v>
      </c>
      <c r="O123">
        <v>54</v>
      </c>
      <c r="P123" t="s">
        <v>44</v>
      </c>
      <c r="Q123" t="str">
        <f t="shared" si="7"/>
        <v>Last Order before Received</v>
      </c>
      <c r="R123" s="3">
        <f t="shared" si="5"/>
        <v>1554</v>
      </c>
      <c r="S123">
        <f t="shared" si="4"/>
        <v>0</v>
      </c>
      <c r="T123" t="str">
        <f t="shared" si="6"/>
        <v>Sufficient Stock</v>
      </c>
    </row>
    <row r="124" spans="1:20" x14ac:dyDescent="0.3">
      <c r="A124" t="s">
        <v>573</v>
      </c>
      <c r="B124" t="s">
        <v>171</v>
      </c>
      <c r="C124" t="s">
        <v>47</v>
      </c>
      <c r="D124" t="s">
        <v>574</v>
      </c>
      <c r="E124" t="s">
        <v>575</v>
      </c>
      <c r="F124">
        <v>61</v>
      </c>
      <c r="G124">
        <v>50</v>
      </c>
      <c r="H124">
        <v>9</v>
      </c>
      <c r="I124" s="1">
        <v>4.5</v>
      </c>
      <c r="J124" s="2">
        <v>45573</v>
      </c>
      <c r="K124" s="2">
        <v>45348</v>
      </c>
      <c r="L124" s="2">
        <v>45676</v>
      </c>
      <c r="M124" t="s">
        <v>576</v>
      </c>
      <c r="N124">
        <v>24</v>
      </c>
      <c r="O124">
        <v>92</v>
      </c>
      <c r="P124" t="s">
        <v>44</v>
      </c>
      <c r="Q124" t="str">
        <f t="shared" si="7"/>
        <v>Last Order before Received</v>
      </c>
      <c r="R124" s="3">
        <f t="shared" si="5"/>
        <v>274.5</v>
      </c>
      <c r="S124">
        <f t="shared" si="4"/>
        <v>0</v>
      </c>
      <c r="T124" t="str">
        <f t="shared" si="6"/>
        <v>Sufficient Stock</v>
      </c>
    </row>
    <row r="125" spans="1:20" x14ac:dyDescent="0.3">
      <c r="A125" t="s">
        <v>577</v>
      </c>
      <c r="B125" t="s">
        <v>265</v>
      </c>
      <c r="C125" t="s">
        <v>89</v>
      </c>
      <c r="D125" t="s">
        <v>578</v>
      </c>
      <c r="E125" t="s">
        <v>579</v>
      </c>
      <c r="F125">
        <v>34</v>
      </c>
      <c r="G125">
        <v>42</v>
      </c>
      <c r="H125">
        <v>86</v>
      </c>
      <c r="I125" s="1">
        <v>4</v>
      </c>
      <c r="J125" s="2">
        <v>45428</v>
      </c>
      <c r="K125" s="2">
        <v>45572</v>
      </c>
      <c r="L125" s="2">
        <v>45383</v>
      </c>
      <c r="M125" t="s">
        <v>580</v>
      </c>
      <c r="N125">
        <v>28</v>
      </c>
      <c r="O125">
        <v>23</v>
      </c>
      <c r="P125" t="s">
        <v>26</v>
      </c>
      <c r="Q125" t="str">
        <f t="shared" si="7"/>
        <v>Expiry before Received</v>
      </c>
      <c r="R125" s="3">
        <f t="shared" si="5"/>
        <v>136</v>
      </c>
      <c r="S125">
        <f t="shared" si="4"/>
        <v>8</v>
      </c>
      <c r="T125" t="str">
        <f t="shared" si="6"/>
        <v>Reorder Required</v>
      </c>
    </row>
    <row r="126" spans="1:20" x14ac:dyDescent="0.3">
      <c r="A126" t="s">
        <v>581</v>
      </c>
      <c r="B126" t="s">
        <v>171</v>
      </c>
      <c r="C126" t="s">
        <v>47</v>
      </c>
      <c r="D126" t="s">
        <v>582</v>
      </c>
      <c r="E126" t="s">
        <v>583</v>
      </c>
      <c r="F126">
        <v>29</v>
      </c>
      <c r="G126">
        <v>20</v>
      </c>
      <c r="H126">
        <v>85</v>
      </c>
      <c r="I126" s="1">
        <v>4.5</v>
      </c>
      <c r="J126" s="2">
        <v>45592</v>
      </c>
      <c r="K126" s="2">
        <v>45708</v>
      </c>
      <c r="L126" s="2">
        <v>45353</v>
      </c>
      <c r="M126" t="s">
        <v>584</v>
      </c>
      <c r="N126">
        <v>31</v>
      </c>
      <c r="O126">
        <v>31</v>
      </c>
      <c r="P126" t="s">
        <v>44</v>
      </c>
      <c r="Q126" t="str">
        <f t="shared" si="7"/>
        <v>Expiry before Received</v>
      </c>
      <c r="R126" s="3">
        <f t="shared" si="5"/>
        <v>130.5</v>
      </c>
      <c r="S126">
        <f t="shared" si="4"/>
        <v>0</v>
      </c>
      <c r="T126" t="str">
        <f t="shared" si="6"/>
        <v>Sufficient Stock</v>
      </c>
    </row>
    <row r="127" spans="1:20" x14ac:dyDescent="0.3">
      <c r="A127" t="s">
        <v>585</v>
      </c>
      <c r="B127" t="s">
        <v>363</v>
      </c>
      <c r="C127" t="s">
        <v>64</v>
      </c>
      <c r="D127" t="s">
        <v>586</v>
      </c>
      <c r="E127" t="s">
        <v>489</v>
      </c>
      <c r="F127">
        <v>14</v>
      </c>
      <c r="G127">
        <v>99</v>
      </c>
      <c r="H127">
        <v>97</v>
      </c>
      <c r="I127" s="1">
        <v>4.2</v>
      </c>
      <c r="J127" s="2">
        <v>45403</v>
      </c>
      <c r="K127" s="2">
        <v>45663</v>
      </c>
      <c r="L127" s="2">
        <v>45469</v>
      </c>
      <c r="M127" t="s">
        <v>587</v>
      </c>
      <c r="N127">
        <v>28</v>
      </c>
      <c r="O127">
        <v>45</v>
      </c>
      <c r="P127" t="s">
        <v>26</v>
      </c>
      <c r="Q127" t="str">
        <f t="shared" si="7"/>
        <v>OK</v>
      </c>
      <c r="R127" s="3">
        <f t="shared" si="5"/>
        <v>58.800000000000004</v>
      </c>
      <c r="S127">
        <f t="shared" si="4"/>
        <v>85</v>
      </c>
      <c r="T127" t="str">
        <f t="shared" si="6"/>
        <v>Reorder Required</v>
      </c>
    </row>
    <row r="128" spans="1:20" x14ac:dyDescent="0.3">
      <c r="A128" t="s">
        <v>588</v>
      </c>
      <c r="B128" t="s">
        <v>589</v>
      </c>
      <c r="C128" t="s">
        <v>22</v>
      </c>
      <c r="D128" t="s">
        <v>590</v>
      </c>
      <c r="E128" t="s">
        <v>591</v>
      </c>
      <c r="F128">
        <v>20</v>
      </c>
      <c r="G128">
        <v>20</v>
      </c>
      <c r="H128">
        <v>56</v>
      </c>
      <c r="I128" s="1">
        <v>1.8</v>
      </c>
      <c r="J128" s="2">
        <v>45663</v>
      </c>
      <c r="K128" s="2">
        <v>45444</v>
      </c>
      <c r="L128" s="2">
        <v>45418</v>
      </c>
      <c r="M128" t="s">
        <v>592</v>
      </c>
      <c r="N128">
        <v>62</v>
      </c>
      <c r="O128">
        <v>69</v>
      </c>
      <c r="P128" t="s">
        <v>38</v>
      </c>
      <c r="Q128" t="str">
        <f t="shared" si="7"/>
        <v>Expiry before Received</v>
      </c>
      <c r="R128" s="3">
        <f t="shared" si="5"/>
        <v>36</v>
      </c>
      <c r="S128">
        <f t="shared" si="4"/>
        <v>0</v>
      </c>
      <c r="T128" t="str">
        <f t="shared" si="6"/>
        <v>Sufficient Stock</v>
      </c>
    </row>
    <row r="129" spans="1:20" x14ac:dyDescent="0.3">
      <c r="A129" t="s">
        <v>593</v>
      </c>
      <c r="B129" t="s">
        <v>594</v>
      </c>
      <c r="C129" t="s">
        <v>22</v>
      </c>
      <c r="D129" t="s">
        <v>595</v>
      </c>
      <c r="E129" t="s">
        <v>596</v>
      </c>
      <c r="F129">
        <v>40</v>
      </c>
      <c r="G129">
        <v>38</v>
      </c>
      <c r="H129">
        <v>32</v>
      </c>
      <c r="I129" s="1">
        <v>3.2</v>
      </c>
      <c r="J129" s="2">
        <v>45590</v>
      </c>
      <c r="K129" s="2">
        <v>45451</v>
      </c>
      <c r="L129" s="2">
        <v>45660</v>
      </c>
      <c r="M129" t="s">
        <v>597</v>
      </c>
      <c r="N129">
        <v>21</v>
      </c>
      <c r="O129">
        <v>45</v>
      </c>
      <c r="P129" t="s">
        <v>38</v>
      </c>
      <c r="Q129" t="str">
        <f t="shared" si="7"/>
        <v>Last Order before Received</v>
      </c>
      <c r="R129" s="3">
        <f t="shared" si="5"/>
        <v>128</v>
      </c>
      <c r="S129">
        <f t="shared" si="4"/>
        <v>0</v>
      </c>
      <c r="T129" t="str">
        <f t="shared" si="6"/>
        <v>Sufficient Stock</v>
      </c>
    </row>
    <row r="130" spans="1:20" x14ac:dyDescent="0.3">
      <c r="A130" t="s">
        <v>598</v>
      </c>
      <c r="B130" t="s">
        <v>599</v>
      </c>
      <c r="C130" t="s">
        <v>58</v>
      </c>
      <c r="D130" t="s">
        <v>600</v>
      </c>
      <c r="E130" t="s">
        <v>123</v>
      </c>
      <c r="F130">
        <v>91</v>
      </c>
      <c r="G130">
        <v>82</v>
      </c>
      <c r="H130">
        <v>58</v>
      </c>
      <c r="I130" s="1">
        <v>2.2999999999999998</v>
      </c>
      <c r="J130" s="2">
        <v>45409</v>
      </c>
      <c r="K130" s="2">
        <v>45586</v>
      </c>
      <c r="L130" s="2">
        <v>45710</v>
      </c>
      <c r="M130" t="s">
        <v>601</v>
      </c>
      <c r="N130">
        <v>43</v>
      </c>
      <c r="O130">
        <v>45</v>
      </c>
      <c r="P130" t="s">
        <v>26</v>
      </c>
      <c r="Q130" t="str">
        <f t="shared" si="7"/>
        <v>OK</v>
      </c>
      <c r="R130" s="3">
        <f t="shared" si="5"/>
        <v>209.29999999999998</v>
      </c>
      <c r="S130">
        <f t="shared" ref="S130:S193" si="8">MAX(0,G130-F130)</f>
        <v>0</v>
      </c>
      <c r="T130" t="str">
        <f t="shared" si="6"/>
        <v>Sufficient Stock</v>
      </c>
    </row>
    <row r="131" spans="1:20" x14ac:dyDescent="0.3">
      <c r="A131" t="s">
        <v>602</v>
      </c>
      <c r="B131" t="s">
        <v>603</v>
      </c>
      <c r="C131" t="s">
        <v>58</v>
      </c>
      <c r="D131" t="s">
        <v>604</v>
      </c>
      <c r="E131" t="s">
        <v>605</v>
      </c>
      <c r="F131">
        <v>99</v>
      </c>
      <c r="G131">
        <v>96</v>
      </c>
      <c r="H131">
        <v>39</v>
      </c>
      <c r="I131" s="1">
        <v>10</v>
      </c>
      <c r="J131" s="2">
        <v>45465</v>
      </c>
      <c r="K131" s="2">
        <v>45462</v>
      </c>
      <c r="L131" s="2">
        <v>45563</v>
      </c>
      <c r="M131" t="s">
        <v>606</v>
      </c>
      <c r="N131">
        <v>94</v>
      </c>
      <c r="O131">
        <v>89</v>
      </c>
      <c r="P131" t="s">
        <v>38</v>
      </c>
      <c r="Q131" t="str">
        <f t="shared" si="7"/>
        <v>Last Order before Received</v>
      </c>
      <c r="R131" s="3">
        <f t="shared" ref="R131:R194" si="9">F131*I131</f>
        <v>990</v>
      </c>
      <c r="S131">
        <f t="shared" si="8"/>
        <v>0</v>
      </c>
      <c r="T131" t="str">
        <f t="shared" ref="T131:T194" si="10">IF(F131&lt;G131,"Reorder Required","Sufficient Stock")</f>
        <v>Sufficient Stock</v>
      </c>
    </row>
    <row r="132" spans="1:20" x14ac:dyDescent="0.3">
      <c r="A132" t="s">
        <v>607</v>
      </c>
      <c r="B132" t="s">
        <v>108</v>
      </c>
      <c r="C132" t="s">
        <v>22</v>
      </c>
      <c r="D132" t="s">
        <v>608</v>
      </c>
      <c r="E132" t="s">
        <v>609</v>
      </c>
      <c r="F132">
        <v>34</v>
      </c>
      <c r="G132">
        <v>46</v>
      </c>
      <c r="H132">
        <v>45</v>
      </c>
      <c r="I132" s="1">
        <v>1.5</v>
      </c>
      <c r="J132" s="2">
        <v>45574</v>
      </c>
      <c r="K132" s="2">
        <v>45637</v>
      </c>
      <c r="L132" s="2">
        <v>45648</v>
      </c>
      <c r="M132" t="s">
        <v>610</v>
      </c>
      <c r="N132">
        <v>49</v>
      </c>
      <c r="O132">
        <v>25</v>
      </c>
      <c r="P132" t="s">
        <v>38</v>
      </c>
      <c r="Q132" t="str">
        <f t="shared" si="7"/>
        <v>OK</v>
      </c>
      <c r="R132" s="3">
        <f t="shared" si="9"/>
        <v>51</v>
      </c>
      <c r="S132">
        <f t="shared" si="8"/>
        <v>12</v>
      </c>
      <c r="T132" t="str">
        <f t="shared" si="10"/>
        <v>Reorder Required</v>
      </c>
    </row>
    <row r="133" spans="1:20" x14ac:dyDescent="0.3">
      <c r="A133" t="s">
        <v>611</v>
      </c>
      <c r="B133" t="s">
        <v>612</v>
      </c>
      <c r="C133" t="s">
        <v>64</v>
      </c>
      <c r="D133" t="s">
        <v>613</v>
      </c>
      <c r="E133" t="s">
        <v>614</v>
      </c>
      <c r="F133">
        <v>100</v>
      </c>
      <c r="G133">
        <v>21</v>
      </c>
      <c r="H133">
        <v>64</v>
      </c>
      <c r="I133" s="1">
        <v>7</v>
      </c>
      <c r="J133" s="2">
        <v>45462</v>
      </c>
      <c r="K133" s="2">
        <v>45362</v>
      </c>
      <c r="L133" s="2">
        <v>45533</v>
      </c>
      <c r="M133" t="s">
        <v>615</v>
      </c>
      <c r="N133">
        <v>20</v>
      </c>
      <c r="O133">
        <v>13</v>
      </c>
      <c r="P133" t="s">
        <v>38</v>
      </c>
      <c r="Q133" t="str">
        <f t="shared" si="7"/>
        <v>Last Order before Received</v>
      </c>
      <c r="R133" s="3">
        <f t="shared" si="9"/>
        <v>700</v>
      </c>
      <c r="S133">
        <f t="shared" si="8"/>
        <v>0</v>
      </c>
      <c r="T133" t="str">
        <f t="shared" si="10"/>
        <v>Sufficient Stock</v>
      </c>
    </row>
    <row r="134" spans="1:20" x14ac:dyDescent="0.3">
      <c r="A134" t="s">
        <v>616</v>
      </c>
      <c r="B134" t="s">
        <v>34</v>
      </c>
      <c r="C134" t="s">
        <v>22</v>
      </c>
      <c r="D134" t="s">
        <v>617</v>
      </c>
      <c r="E134" t="s">
        <v>618</v>
      </c>
      <c r="F134">
        <v>79</v>
      </c>
      <c r="G134">
        <v>98</v>
      </c>
      <c r="H134">
        <v>97</v>
      </c>
      <c r="I134" s="1">
        <v>6</v>
      </c>
      <c r="J134" s="2">
        <v>45636</v>
      </c>
      <c r="K134" s="2">
        <v>45674</v>
      </c>
      <c r="L134" s="2">
        <v>45429</v>
      </c>
      <c r="M134" t="s">
        <v>619</v>
      </c>
      <c r="N134">
        <v>26</v>
      </c>
      <c r="O134">
        <v>21</v>
      </c>
      <c r="P134" t="s">
        <v>38</v>
      </c>
      <c r="Q134" t="str">
        <f t="shared" si="7"/>
        <v>Expiry before Received</v>
      </c>
      <c r="R134" s="3">
        <f t="shared" si="9"/>
        <v>474</v>
      </c>
      <c r="S134">
        <f t="shared" si="8"/>
        <v>19</v>
      </c>
      <c r="T134" t="str">
        <f t="shared" si="10"/>
        <v>Reorder Required</v>
      </c>
    </row>
    <row r="135" spans="1:20" x14ac:dyDescent="0.3">
      <c r="A135" t="s">
        <v>620</v>
      </c>
      <c r="B135" t="s">
        <v>69</v>
      </c>
      <c r="C135" t="s">
        <v>64</v>
      </c>
      <c r="D135" t="s">
        <v>621</v>
      </c>
      <c r="E135" t="s">
        <v>614</v>
      </c>
      <c r="F135">
        <v>62</v>
      </c>
      <c r="G135">
        <v>2</v>
      </c>
      <c r="H135">
        <v>98</v>
      </c>
      <c r="I135" s="1">
        <v>3</v>
      </c>
      <c r="J135" s="2">
        <v>45435</v>
      </c>
      <c r="K135" s="2">
        <v>45583</v>
      </c>
      <c r="L135" s="2">
        <v>45540</v>
      </c>
      <c r="M135" t="s">
        <v>622</v>
      </c>
      <c r="N135">
        <v>50</v>
      </c>
      <c r="O135">
        <v>11</v>
      </c>
      <c r="P135" t="s">
        <v>26</v>
      </c>
      <c r="Q135" t="str">
        <f t="shared" ref="Q135:Q198" si="11">IF(L135&lt;J135,"Expiry before Received",IF(K135&lt;J135,"Last Order before Received","OK"))</f>
        <v>OK</v>
      </c>
      <c r="R135" s="3">
        <f t="shared" si="9"/>
        <v>186</v>
      </c>
      <c r="S135">
        <f t="shared" si="8"/>
        <v>0</v>
      </c>
      <c r="T135" t="str">
        <f t="shared" si="10"/>
        <v>Sufficient Stock</v>
      </c>
    </row>
    <row r="136" spans="1:20" x14ac:dyDescent="0.3">
      <c r="A136" t="s">
        <v>623</v>
      </c>
      <c r="B136" t="s">
        <v>624</v>
      </c>
      <c r="C136" t="s">
        <v>132</v>
      </c>
      <c r="D136" t="s">
        <v>625</v>
      </c>
      <c r="E136" t="s">
        <v>626</v>
      </c>
      <c r="F136">
        <v>25</v>
      </c>
      <c r="G136">
        <v>44</v>
      </c>
      <c r="H136">
        <v>96</v>
      </c>
      <c r="I136" s="1">
        <v>18</v>
      </c>
      <c r="J136" s="2">
        <v>45477</v>
      </c>
      <c r="K136" s="2">
        <v>45360</v>
      </c>
      <c r="L136" s="2">
        <v>45536</v>
      </c>
      <c r="M136" t="s">
        <v>627</v>
      </c>
      <c r="N136">
        <v>36</v>
      </c>
      <c r="O136">
        <v>16</v>
      </c>
      <c r="P136" t="s">
        <v>44</v>
      </c>
      <c r="Q136" t="str">
        <f t="shared" si="11"/>
        <v>Last Order before Received</v>
      </c>
      <c r="R136" s="3">
        <f t="shared" si="9"/>
        <v>450</v>
      </c>
      <c r="S136">
        <f t="shared" si="8"/>
        <v>19</v>
      </c>
      <c r="T136" t="str">
        <f t="shared" si="10"/>
        <v>Reorder Required</v>
      </c>
    </row>
    <row r="137" spans="1:20" x14ac:dyDescent="0.3">
      <c r="A137" t="s">
        <v>628</v>
      </c>
      <c r="B137" t="s">
        <v>629</v>
      </c>
      <c r="C137" t="s">
        <v>64</v>
      </c>
      <c r="D137" t="s">
        <v>630</v>
      </c>
      <c r="E137" t="s">
        <v>36</v>
      </c>
      <c r="F137">
        <v>47</v>
      </c>
      <c r="G137">
        <v>2</v>
      </c>
      <c r="H137">
        <v>76</v>
      </c>
      <c r="I137" s="1">
        <v>2.5</v>
      </c>
      <c r="J137" s="2">
        <v>45425</v>
      </c>
      <c r="K137" s="2">
        <v>45472</v>
      </c>
      <c r="L137" s="2">
        <v>45357</v>
      </c>
      <c r="M137" t="s">
        <v>631</v>
      </c>
      <c r="N137">
        <v>48</v>
      </c>
      <c r="O137">
        <v>36</v>
      </c>
      <c r="P137" t="s">
        <v>26</v>
      </c>
      <c r="Q137" t="str">
        <f t="shared" si="11"/>
        <v>Expiry before Received</v>
      </c>
      <c r="R137" s="3">
        <f t="shared" si="9"/>
        <v>117.5</v>
      </c>
      <c r="S137">
        <f t="shared" si="8"/>
        <v>0</v>
      </c>
      <c r="T137" t="str">
        <f t="shared" si="10"/>
        <v>Sufficient Stock</v>
      </c>
    </row>
    <row r="138" spans="1:20" x14ac:dyDescent="0.3">
      <c r="A138" t="s">
        <v>632</v>
      </c>
      <c r="B138" t="s">
        <v>274</v>
      </c>
      <c r="C138" t="s">
        <v>47</v>
      </c>
      <c r="D138" t="s">
        <v>633</v>
      </c>
      <c r="E138" t="s">
        <v>634</v>
      </c>
      <c r="F138">
        <v>15</v>
      </c>
      <c r="G138">
        <v>44</v>
      </c>
      <c r="H138">
        <v>88</v>
      </c>
      <c r="I138" s="1">
        <v>3</v>
      </c>
      <c r="J138" s="2">
        <v>45535</v>
      </c>
      <c r="K138" s="2">
        <v>45701</v>
      </c>
      <c r="L138" s="2">
        <v>45410</v>
      </c>
      <c r="M138" t="s">
        <v>635</v>
      </c>
      <c r="N138">
        <v>56</v>
      </c>
      <c r="O138">
        <v>12</v>
      </c>
      <c r="P138" t="s">
        <v>26</v>
      </c>
      <c r="Q138" t="str">
        <f t="shared" si="11"/>
        <v>Expiry before Received</v>
      </c>
      <c r="R138" s="3">
        <f t="shared" si="9"/>
        <v>45</v>
      </c>
      <c r="S138">
        <f t="shared" si="8"/>
        <v>29</v>
      </c>
      <c r="T138" t="str">
        <f t="shared" si="10"/>
        <v>Reorder Required</v>
      </c>
    </row>
    <row r="139" spans="1:20" x14ac:dyDescent="0.3">
      <c r="A139" t="s">
        <v>636</v>
      </c>
      <c r="B139" t="s">
        <v>545</v>
      </c>
      <c r="C139" t="s">
        <v>47</v>
      </c>
      <c r="D139" t="s">
        <v>637</v>
      </c>
      <c r="E139" t="s">
        <v>638</v>
      </c>
      <c r="F139">
        <v>19</v>
      </c>
      <c r="G139">
        <v>65</v>
      </c>
      <c r="H139">
        <v>48</v>
      </c>
      <c r="I139" s="1">
        <v>6</v>
      </c>
      <c r="J139" s="2">
        <v>45544</v>
      </c>
      <c r="K139" s="2">
        <v>45702</v>
      </c>
      <c r="L139" s="2">
        <v>45547</v>
      </c>
      <c r="M139" t="s">
        <v>639</v>
      </c>
      <c r="N139">
        <v>59</v>
      </c>
      <c r="O139">
        <v>53</v>
      </c>
      <c r="P139" t="s">
        <v>26</v>
      </c>
      <c r="Q139" t="str">
        <f t="shared" si="11"/>
        <v>OK</v>
      </c>
      <c r="R139" s="3">
        <f t="shared" si="9"/>
        <v>114</v>
      </c>
      <c r="S139">
        <f t="shared" si="8"/>
        <v>46</v>
      </c>
      <c r="T139" t="str">
        <f t="shared" si="10"/>
        <v>Reorder Required</v>
      </c>
    </row>
    <row r="140" spans="1:20" x14ac:dyDescent="0.3">
      <c r="A140" t="s">
        <v>640</v>
      </c>
      <c r="B140" t="s">
        <v>624</v>
      </c>
      <c r="C140" t="s">
        <v>132</v>
      </c>
      <c r="D140" t="s">
        <v>641</v>
      </c>
      <c r="E140" t="s">
        <v>642</v>
      </c>
      <c r="F140">
        <v>58</v>
      </c>
      <c r="G140">
        <v>77</v>
      </c>
      <c r="H140">
        <v>96</v>
      </c>
      <c r="I140" s="1">
        <v>18</v>
      </c>
      <c r="J140" s="2">
        <v>45546</v>
      </c>
      <c r="K140" s="2">
        <v>45399</v>
      </c>
      <c r="L140" s="2">
        <v>45381</v>
      </c>
      <c r="M140" t="s">
        <v>643</v>
      </c>
      <c r="N140">
        <v>25</v>
      </c>
      <c r="O140">
        <v>17</v>
      </c>
      <c r="P140" t="s">
        <v>26</v>
      </c>
      <c r="Q140" t="str">
        <f t="shared" si="11"/>
        <v>Expiry before Received</v>
      </c>
      <c r="R140" s="3">
        <f t="shared" si="9"/>
        <v>1044</v>
      </c>
      <c r="S140">
        <f t="shared" si="8"/>
        <v>19</v>
      </c>
      <c r="T140" t="str">
        <f t="shared" si="10"/>
        <v>Reorder Required</v>
      </c>
    </row>
    <row r="141" spans="1:20" x14ac:dyDescent="0.3">
      <c r="A141" t="s">
        <v>644</v>
      </c>
      <c r="B141" t="s">
        <v>645</v>
      </c>
      <c r="C141" t="s">
        <v>64</v>
      </c>
      <c r="D141" t="s">
        <v>646</v>
      </c>
      <c r="E141" t="s">
        <v>647</v>
      </c>
      <c r="F141">
        <v>11</v>
      </c>
      <c r="G141">
        <v>30</v>
      </c>
      <c r="H141">
        <v>4</v>
      </c>
      <c r="I141" s="1">
        <v>4</v>
      </c>
      <c r="J141" s="2">
        <v>45506</v>
      </c>
      <c r="K141" s="2">
        <v>45564</v>
      </c>
      <c r="L141" s="2">
        <v>45640</v>
      </c>
      <c r="M141" t="s">
        <v>648</v>
      </c>
      <c r="N141">
        <v>84</v>
      </c>
      <c r="O141">
        <v>4</v>
      </c>
      <c r="P141" t="s">
        <v>44</v>
      </c>
      <c r="Q141" t="str">
        <f t="shared" si="11"/>
        <v>OK</v>
      </c>
      <c r="R141" s="3">
        <f t="shared" si="9"/>
        <v>44</v>
      </c>
      <c r="S141">
        <f t="shared" si="8"/>
        <v>19</v>
      </c>
      <c r="T141" t="str">
        <f t="shared" si="10"/>
        <v>Reorder Required</v>
      </c>
    </row>
    <row r="142" spans="1:20" x14ac:dyDescent="0.3">
      <c r="A142" t="s">
        <v>649</v>
      </c>
      <c r="B142" t="s">
        <v>472</v>
      </c>
      <c r="C142" t="s">
        <v>22</v>
      </c>
      <c r="D142" t="s">
        <v>650</v>
      </c>
      <c r="E142" t="s">
        <v>651</v>
      </c>
      <c r="F142">
        <v>99</v>
      </c>
      <c r="G142">
        <v>44</v>
      </c>
      <c r="H142">
        <v>52</v>
      </c>
      <c r="I142" s="1">
        <v>2</v>
      </c>
      <c r="J142" s="2">
        <v>45590</v>
      </c>
      <c r="K142" s="2">
        <v>45433</v>
      </c>
      <c r="L142" s="2">
        <v>45463</v>
      </c>
      <c r="M142" t="s">
        <v>652</v>
      </c>
      <c r="N142">
        <v>36</v>
      </c>
      <c r="O142">
        <v>2</v>
      </c>
      <c r="P142" t="s">
        <v>26</v>
      </c>
      <c r="Q142" t="str">
        <f t="shared" si="11"/>
        <v>Expiry before Received</v>
      </c>
      <c r="R142" s="3">
        <f t="shared" si="9"/>
        <v>198</v>
      </c>
      <c r="S142">
        <f t="shared" si="8"/>
        <v>0</v>
      </c>
      <c r="T142" t="str">
        <f t="shared" si="10"/>
        <v>Sufficient Stock</v>
      </c>
    </row>
    <row r="143" spans="1:20" x14ac:dyDescent="0.3">
      <c r="A143" t="s">
        <v>653</v>
      </c>
      <c r="B143" t="s">
        <v>40</v>
      </c>
      <c r="C143" t="s">
        <v>22</v>
      </c>
      <c r="D143" t="s">
        <v>654</v>
      </c>
      <c r="E143" t="s">
        <v>655</v>
      </c>
      <c r="F143">
        <v>26</v>
      </c>
      <c r="G143">
        <v>82</v>
      </c>
      <c r="H143">
        <v>19</v>
      </c>
      <c r="I143" s="1">
        <v>1.5</v>
      </c>
      <c r="J143" s="2">
        <v>45558</v>
      </c>
      <c r="K143" s="2">
        <v>45483</v>
      </c>
      <c r="L143" s="2">
        <v>45381</v>
      </c>
      <c r="M143" t="s">
        <v>656</v>
      </c>
      <c r="N143">
        <v>76</v>
      </c>
      <c r="O143">
        <v>88</v>
      </c>
      <c r="P143" t="s">
        <v>44</v>
      </c>
      <c r="Q143" t="str">
        <f t="shared" si="11"/>
        <v>Expiry before Received</v>
      </c>
      <c r="R143" s="3">
        <f t="shared" si="9"/>
        <v>39</v>
      </c>
      <c r="S143">
        <f t="shared" si="8"/>
        <v>56</v>
      </c>
      <c r="T143" t="str">
        <f t="shared" si="10"/>
        <v>Reorder Required</v>
      </c>
    </row>
    <row r="144" spans="1:20" x14ac:dyDescent="0.3">
      <c r="A144" t="s">
        <v>657</v>
      </c>
      <c r="B144" t="s">
        <v>368</v>
      </c>
      <c r="C144" t="s">
        <v>47</v>
      </c>
      <c r="D144" t="s">
        <v>658</v>
      </c>
      <c r="E144" t="s">
        <v>207</v>
      </c>
      <c r="F144">
        <v>70</v>
      </c>
      <c r="G144">
        <v>31</v>
      </c>
      <c r="H144">
        <v>55</v>
      </c>
      <c r="I144" s="1">
        <v>4.5</v>
      </c>
      <c r="J144" s="2">
        <v>45504</v>
      </c>
      <c r="K144" s="2">
        <v>45500</v>
      </c>
      <c r="L144" s="2">
        <v>45480</v>
      </c>
      <c r="M144" t="s">
        <v>659</v>
      </c>
      <c r="N144">
        <v>23</v>
      </c>
      <c r="O144">
        <v>80</v>
      </c>
      <c r="P144" t="s">
        <v>26</v>
      </c>
      <c r="Q144" t="str">
        <f t="shared" si="11"/>
        <v>Expiry before Received</v>
      </c>
      <c r="R144" s="3">
        <f t="shared" si="9"/>
        <v>315</v>
      </c>
      <c r="S144">
        <f t="shared" si="8"/>
        <v>0</v>
      </c>
      <c r="T144" t="str">
        <f t="shared" si="10"/>
        <v>Sufficient Stock</v>
      </c>
    </row>
    <row r="145" spans="1:20" x14ac:dyDescent="0.3">
      <c r="A145" t="s">
        <v>660</v>
      </c>
      <c r="B145" t="s">
        <v>368</v>
      </c>
      <c r="C145" t="s">
        <v>47</v>
      </c>
      <c r="D145" t="s">
        <v>661</v>
      </c>
      <c r="E145" t="s">
        <v>662</v>
      </c>
      <c r="F145">
        <v>50</v>
      </c>
      <c r="G145">
        <v>3</v>
      </c>
      <c r="H145">
        <v>88</v>
      </c>
      <c r="I145" s="1">
        <v>4.5</v>
      </c>
      <c r="J145" s="2">
        <v>45494</v>
      </c>
      <c r="K145" s="2">
        <v>45473</v>
      </c>
      <c r="L145" s="2">
        <v>45557</v>
      </c>
      <c r="M145" t="s">
        <v>663</v>
      </c>
      <c r="N145">
        <v>69</v>
      </c>
      <c r="O145">
        <v>73</v>
      </c>
      <c r="P145" t="s">
        <v>26</v>
      </c>
      <c r="Q145" t="str">
        <f t="shared" si="11"/>
        <v>Last Order before Received</v>
      </c>
      <c r="R145" s="3">
        <f t="shared" si="9"/>
        <v>225</v>
      </c>
      <c r="S145">
        <f t="shared" si="8"/>
        <v>0</v>
      </c>
      <c r="T145" t="str">
        <f t="shared" si="10"/>
        <v>Sufficient Stock</v>
      </c>
    </row>
    <row r="146" spans="1:20" x14ac:dyDescent="0.3">
      <c r="A146" t="s">
        <v>664</v>
      </c>
      <c r="B146" t="s">
        <v>181</v>
      </c>
      <c r="C146" t="s">
        <v>47</v>
      </c>
      <c r="D146" t="s">
        <v>665</v>
      </c>
      <c r="E146" t="s">
        <v>618</v>
      </c>
      <c r="F146">
        <v>55</v>
      </c>
      <c r="G146">
        <v>91</v>
      </c>
      <c r="H146">
        <v>35</v>
      </c>
      <c r="I146" s="1">
        <v>3.5</v>
      </c>
      <c r="J146" s="2">
        <v>45420</v>
      </c>
      <c r="K146" s="2">
        <v>45434</v>
      </c>
      <c r="L146" s="2">
        <v>45705</v>
      </c>
      <c r="M146" t="s">
        <v>666</v>
      </c>
      <c r="N146">
        <v>81</v>
      </c>
      <c r="O146">
        <v>19</v>
      </c>
      <c r="P146" t="s">
        <v>44</v>
      </c>
      <c r="Q146" t="str">
        <f t="shared" si="11"/>
        <v>OK</v>
      </c>
      <c r="R146" s="3">
        <f t="shared" si="9"/>
        <v>192.5</v>
      </c>
      <c r="S146">
        <f t="shared" si="8"/>
        <v>36</v>
      </c>
      <c r="T146" t="str">
        <f t="shared" si="10"/>
        <v>Reorder Required</v>
      </c>
    </row>
    <row r="147" spans="1:20" x14ac:dyDescent="0.3">
      <c r="A147" t="s">
        <v>667</v>
      </c>
      <c r="B147" t="s">
        <v>532</v>
      </c>
      <c r="C147" t="s">
        <v>132</v>
      </c>
      <c r="D147" t="s">
        <v>668</v>
      </c>
      <c r="E147" t="s">
        <v>669</v>
      </c>
      <c r="F147">
        <v>31</v>
      </c>
      <c r="G147">
        <v>87</v>
      </c>
      <c r="H147">
        <v>19</v>
      </c>
      <c r="I147" s="1">
        <v>8</v>
      </c>
      <c r="J147" s="2">
        <v>45435</v>
      </c>
      <c r="K147" s="2">
        <v>45486</v>
      </c>
      <c r="L147" s="2">
        <v>45413</v>
      </c>
      <c r="M147" t="s">
        <v>670</v>
      </c>
      <c r="N147">
        <v>41</v>
      </c>
      <c r="O147">
        <v>10</v>
      </c>
      <c r="P147" t="s">
        <v>44</v>
      </c>
      <c r="Q147" t="str">
        <f t="shared" si="11"/>
        <v>Expiry before Received</v>
      </c>
      <c r="R147" s="3">
        <f t="shared" si="9"/>
        <v>248</v>
      </c>
      <c r="S147">
        <f t="shared" si="8"/>
        <v>56</v>
      </c>
      <c r="T147" t="str">
        <f t="shared" si="10"/>
        <v>Reorder Required</v>
      </c>
    </row>
    <row r="148" spans="1:20" x14ac:dyDescent="0.3">
      <c r="A148" t="s">
        <v>671</v>
      </c>
      <c r="B148" t="s">
        <v>672</v>
      </c>
      <c r="C148" t="s">
        <v>29</v>
      </c>
      <c r="D148" t="s">
        <v>673</v>
      </c>
      <c r="E148" t="s">
        <v>674</v>
      </c>
      <c r="F148">
        <v>63</v>
      </c>
      <c r="G148">
        <v>92</v>
      </c>
      <c r="H148">
        <v>26</v>
      </c>
      <c r="I148" s="1">
        <v>8</v>
      </c>
      <c r="J148" s="2">
        <v>45522</v>
      </c>
      <c r="K148" s="2">
        <v>45700</v>
      </c>
      <c r="L148" s="2">
        <v>45411</v>
      </c>
      <c r="M148" t="s">
        <v>675</v>
      </c>
      <c r="N148">
        <v>93</v>
      </c>
      <c r="O148">
        <v>99</v>
      </c>
      <c r="P148" t="s">
        <v>44</v>
      </c>
      <c r="Q148" t="str">
        <f t="shared" si="11"/>
        <v>Expiry before Received</v>
      </c>
      <c r="R148" s="3">
        <f t="shared" si="9"/>
        <v>504</v>
      </c>
      <c r="S148">
        <f t="shared" si="8"/>
        <v>29</v>
      </c>
      <c r="T148" t="str">
        <f t="shared" si="10"/>
        <v>Reorder Required</v>
      </c>
    </row>
    <row r="149" spans="1:20" x14ac:dyDescent="0.3">
      <c r="A149" t="s">
        <v>676</v>
      </c>
      <c r="B149" t="s">
        <v>302</v>
      </c>
      <c r="C149" t="s">
        <v>132</v>
      </c>
      <c r="D149" t="s">
        <v>677</v>
      </c>
      <c r="E149" t="s">
        <v>596</v>
      </c>
      <c r="F149">
        <v>73</v>
      </c>
      <c r="G149">
        <v>31</v>
      </c>
      <c r="H149">
        <v>49</v>
      </c>
      <c r="I149" s="1">
        <v>6</v>
      </c>
      <c r="J149" s="2">
        <v>45683</v>
      </c>
      <c r="K149" s="2">
        <v>45353</v>
      </c>
      <c r="L149" s="2">
        <v>45357</v>
      </c>
      <c r="M149" t="s">
        <v>678</v>
      </c>
      <c r="N149">
        <v>22</v>
      </c>
      <c r="O149">
        <v>47</v>
      </c>
      <c r="P149" t="s">
        <v>26</v>
      </c>
      <c r="Q149" t="str">
        <f t="shared" si="11"/>
        <v>Expiry before Received</v>
      </c>
      <c r="R149" s="3">
        <f t="shared" si="9"/>
        <v>438</v>
      </c>
      <c r="S149">
        <f t="shared" si="8"/>
        <v>0</v>
      </c>
      <c r="T149" t="str">
        <f t="shared" si="10"/>
        <v>Sufficient Stock</v>
      </c>
    </row>
    <row r="150" spans="1:20" x14ac:dyDescent="0.3">
      <c r="A150" t="s">
        <v>679</v>
      </c>
      <c r="B150" t="s">
        <v>265</v>
      </c>
      <c r="C150" t="s">
        <v>89</v>
      </c>
      <c r="D150" t="s">
        <v>680</v>
      </c>
      <c r="E150" t="s">
        <v>522</v>
      </c>
      <c r="F150">
        <v>12</v>
      </c>
      <c r="G150">
        <v>86</v>
      </c>
      <c r="H150">
        <v>98</v>
      </c>
      <c r="I150" s="1">
        <v>4</v>
      </c>
      <c r="J150" s="2">
        <v>45575</v>
      </c>
      <c r="K150" s="2">
        <v>45472</v>
      </c>
      <c r="L150" s="2">
        <v>45564</v>
      </c>
      <c r="M150" t="s">
        <v>681</v>
      </c>
      <c r="N150">
        <v>75</v>
      </c>
      <c r="O150">
        <v>86</v>
      </c>
      <c r="P150" t="s">
        <v>26</v>
      </c>
      <c r="Q150" t="str">
        <f t="shared" si="11"/>
        <v>Expiry before Received</v>
      </c>
      <c r="R150" s="3">
        <f t="shared" si="9"/>
        <v>48</v>
      </c>
      <c r="S150">
        <f t="shared" si="8"/>
        <v>74</v>
      </c>
      <c r="T150" t="str">
        <f t="shared" si="10"/>
        <v>Reorder Required</v>
      </c>
    </row>
    <row r="151" spans="1:20" x14ac:dyDescent="0.3">
      <c r="A151" t="s">
        <v>682</v>
      </c>
      <c r="B151" t="s">
        <v>219</v>
      </c>
      <c r="C151" t="s">
        <v>22</v>
      </c>
      <c r="D151" t="s">
        <v>683</v>
      </c>
      <c r="E151" t="s">
        <v>684</v>
      </c>
      <c r="F151">
        <v>53</v>
      </c>
      <c r="G151">
        <v>86</v>
      </c>
      <c r="H151">
        <v>54</v>
      </c>
      <c r="I151" s="1">
        <v>3</v>
      </c>
      <c r="J151" s="2">
        <v>45518</v>
      </c>
      <c r="K151" s="2">
        <v>45692</v>
      </c>
      <c r="L151" s="2">
        <v>45602</v>
      </c>
      <c r="M151" t="s">
        <v>685</v>
      </c>
      <c r="N151">
        <v>44</v>
      </c>
      <c r="O151">
        <v>3</v>
      </c>
      <c r="P151" t="s">
        <v>26</v>
      </c>
      <c r="Q151" t="str">
        <f t="shared" si="11"/>
        <v>OK</v>
      </c>
      <c r="R151" s="3">
        <f t="shared" si="9"/>
        <v>159</v>
      </c>
      <c r="S151">
        <f t="shared" si="8"/>
        <v>33</v>
      </c>
      <c r="T151" t="str">
        <f t="shared" si="10"/>
        <v>Reorder Required</v>
      </c>
    </row>
    <row r="152" spans="1:20" x14ac:dyDescent="0.3">
      <c r="A152" t="s">
        <v>686</v>
      </c>
      <c r="B152" t="s">
        <v>687</v>
      </c>
      <c r="C152" t="s">
        <v>22</v>
      </c>
      <c r="D152" t="s">
        <v>688</v>
      </c>
      <c r="E152" t="s">
        <v>689</v>
      </c>
      <c r="F152">
        <v>68</v>
      </c>
      <c r="G152">
        <v>7</v>
      </c>
      <c r="H152">
        <v>37</v>
      </c>
      <c r="I152" s="1">
        <v>2.5</v>
      </c>
      <c r="J152" s="2">
        <v>45512</v>
      </c>
      <c r="K152" s="2">
        <v>45393</v>
      </c>
      <c r="L152" s="2">
        <v>45654</v>
      </c>
      <c r="M152" t="s">
        <v>690</v>
      </c>
      <c r="N152">
        <v>69</v>
      </c>
      <c r="O152">
        <v>1</v>
      </c>
      <c r="P152" t="s">
        <v>26</v>
      </c>
      <c r="Q152" t="str">
        <f t="shared" si="11"/>
        <v>Last Order before Received</v>
      </c>
      <c r="R152" s="3">
        <f t="shared" si="9"/>
        <v>170</v>
      </c>
      <c r="S152">
        <f t="shared" si="8"/>
        <v>0</v>
      </c>
      <c r="T152" t="str">
        <f t="shared" si="10"/>
        <v>Sufficient Stock</v>
      </c>
    </row>
    <row r="153" spans="1:20" x14ac:dyDescent="0.3">
      <c r="A153" t="s">
        <v>691</v>
      </c>
      <c r="B153" t="s">
        <v>113</v>
      </c>
      <c r="C153" t="s">
        <v>64</v>
      </c>
      <c r="D153" t="s">
        <v>692</v>
      </c>
      <c r="E153" t="s">
        <v>693</v>
      </c>
      <c r="F153">
        <v>80</v>
      </c>
      <c r="G153">
        <v>9</v>
      </c>
      <c r="H153">
        <v>29</v>
      </c>
      <c r="I153" s="1">
        <v>8.1</v>
      </c>
      <c r="J153" s="2">
        <v>45530</v>
      </c>
      <c r="K153" s="2">
        <v>45616</v>
      </c>
      <c r="L153" s="2">
        <v>45574</v>
      </c>
      <c r="M153" t="s">
        <v>694</v>
      </c>
      <c r="N153">
        <v>54</v>
      </c>
      <c r="O153">
        <v>62</v>
      </c>
      <c r="P153" t="s">
        <v>44</v>
      </c>
      <c r="Q153" t="str">
        <f t="shared" si="11"/>
        <v>OK</v>
      </c>
      <c r="R153" s="3">
        <f t="shared" si="9"/>
        <v>648</v>
      </c>
      <c r="S153">
        <f t="shared" si="8"/>
        <v>0</v>
      </c>
      <c r="T153" t="str">
        <f t="shared" si="10"/>
        <v>Sufficient Stock</v>
      </c>
    </row>
    <row r="154" spans="1:20" x14ac:dyDescent="0.3">
      <c r="A154" t="s">
        <v>695</v>
      </c>
      <c r="B154" t="s">
        <v>624</v>
      </c>
      <c r="C154" t="s">
        <v>132</v>
      </c>
      <c r="D154" t="s">
        <v>696</v>
      </c>
      <c r="E154" t="s">
        <v>697</v>
      </c>
      <c r="F154">
        <v>92</v>
      </c>
      <c r="G154">
        <v>68</v>
      </c>
      <c r="H154">
        <v>79</v>
      </c>
      <c r="I154" s="1">
        <v>18</v>
      </c>
      <c r="J154" s="2">
        <v>45650</v>
      </c>
      <c r="K154" s="2">
        <v>45522</v>
      </c>
      <c r="L154" s="2">
        <v>45386</v>
      </c>
      <c r="M154" t="s">
        <v>698</v>
      </c>
      <c r="N154">
        <v>40</v>
      </c>
      <c r="O154">
        <v>57</v>
      </c>
      <c r="P154" t="s">
        <v>26</v>
      </c>
      <c r="Q154" t="str">
        <f t="shared" si="11"/>
        <v>Expiry before Received</v>
      </c>
      <c r="R154" s="3">
        <f t="shared" si="9"/>
        <v>1656</v>
      </c>
      <c r="S154">
        <f t="shared" si="8"/>
        <v>0</v>
      </c>
      <c r="T154" t="str">
        <f t="shared" si="10"/>
        <v>Sufficient Stock</v>
      </c>
    </row>
    <row r="155" spans="1:20" x14ac:dyDescent="0.3">
      <c r="A155" t="s">
        <v>699</v>
      </c>
      <c r="B155" t="s">
        <v>176</v>
      </c>
      <c r="C155" t="s">
        <v>47</v>
      </c>
      <c r="D155" t="s">
        <v>700</v>
      </c>
      <c r="E155" t="s">
        <v>356</v>
      </c>
      <c r="F155">
        <v>31</v>
      </c>
      <c r="G155">
        <v>98</v>
      </c>
      <c r="H155">
        <v>72</v>
      </c>
      <c r="I155" s="1">
        <v>1.8</v>
      </c>
      <c r="J155" s="2">
        <v>45530</v>
      </c>
      <c r="K155" s="2">
        <v>45572</v>
      </c>
      <c r="L155" s="2">
        <v>45630</v>
      </c>
      <c r="M155" t="s">
        <v>701</v>
      </c>
      <c r="N155">
        <v>91</v>
      </c>
      <c r="O155">
        <v>29</v>
      </c>
      <c r="P155" t="s">
        <v>44</v>
      </c>
      <c r="Q155" t="str">
        <f t="shared" si="11"/>
        <v>OK</v>
      </c>
      <c r="R155" s="3">
        <f t="shared" si="9"/>
        <v>55.800000000000004</v>
      </c>
      <c r="S155">
        <f t="shared" si="8"/>
        <v>67</v>
      </c>
      <c r="T155" t="str">
        <f t="shared" si="10"/>
        <v>Reorder Required</v>
      </c>
    </row>
    <row r="156" spans="1:20" x14ac:dyDescent="0.3">
      <c r="A156" t="s">
        <v>702</v>
      </c>
      <c r="B156" t="s">
        <v>354</v>
      </c>
      <c r="C156" t="s">
        <v>47</v>
      </c>
      <c r="D156" t="s">
        <v>703</v>
      </c>
      <c r="E156" t="s">
        <v>49</v>
      </c>
      <c r="F156">
        <v>31</v>
      </c>
      <c r="G156">
        <v>44</v>
      </c>
      <c r="H156">
        <v>9</v>
      </c>
      <c r="I156" s="1">
        <v>3</v>
      </c>
      <c r="J156" s="2">
        <v>45442</v>
      </c>
      <c r="K156" s="2">
        <v>45428</v>
      </c>
      <c r="L156" s="2">
        <v>45509</v>
      </c>
      <c r="M156" t="s">
        <v>704</v>
      </c>
      <c r="N156">
        <v>46</v>
      </c>
      <c r="O156">
        <v>9</v>
      </c>
      <c r="P156" t="s">
        <v>26</v>
      </c>
      <c r="Q156" t="str">
        <f t="shared" si="11"/>
        <v>Last Order before Received</v>
      </c>
      <c r="R156" s="3">
        <f t="shared" si="9"/>
        <v>93</v>
      </c>
      <c r="S156">
        <f t="shared" si="8"/>
        <v>13</v>
      </c>
      <c r="T156" t="str">
        <f t="shared" si="10"/>
        <v>Reorder Required</v>
      </c>
    </row>
    <row r="157" spans="1:20" x14ac:dyDescent="0.3">
      <c r="A157" t="s">
        <v>705</v>
      </c>
      <c r="B157" t="s">
        <v>463</v>
      </c>
      <c r="C157" t="s">
        <v>47</v>
      </c>
      <c r="D157" t="s">
        <v>706</v>
      </c>
      <c r="E157" t="s">
        <v>707</v>
      </c>
      <c r="F157">
        <v>76</v>
      </c>
      <c r="G157">
        <v>97</v>
      </c>
      <c r="H157">
        <v>20</v>
      </c>
      <c r="I157" s="1">
        <v>7</v>
      </c>
      <c r="J157" s="2">
        <v>45378</v>
      </c>
      <c r="K157" s="2">
        <v>45528</v>
      </c>
      <c r="L157" s="2">
        <v>45423</v>
      </c>
      <c r="M157" t="s">
        <v>708</v>
      </c>
      <c r="N157">
        <v>52</v>
      </c>
      <c r="O157">
        <v>82</v>
      </c>
      <c r="P157" t="s">
        <v>26</v>
      </c>
      <c r="Q157" t="str">
        <f t="shared" si="11"/>
        <v>OK</v>
      </c>
      <c r="R157" s="3">
        <f t="shared" si="9"/>
        <v>532</v>
      </c>
      <c r="S157">
        <f t="shared" si="8"/>
        <v>21</v>
      </c>
      <c r="T157" t="str">
        <f t="shared" si="10"/>
        <v>Reorder Required</v>
      </c>
    </row>
    <row r="158" spans="1:20" x14ac:dyDescent="0.3">
      <c r="A158" t="s">
        <v>709</v>
      </c>
      <c r="B158" t="s">
        <v>710</v>
      </c>
      <c r="C158" t="s">
        <v>58</v>
      </c>
      <c r="D158" t="s">
        <v>711</v>
      </c>
      <c r="E158" t="s">
        <v>712</v>
      </c>
      <c r="F158">
        <v>57</v>
      </c>
      <c r="G158">
        <v>99</v>
      </c>
      <c r="H158">
        <v>23</v>
      </c>
      <c r="I158" s="1">
        <v>2</v>
      </c>
      <c r="J158" s="2">
        <v>45498</v>
      </c>
      <c r="K158" s="2">
        <v>45437</v>
      </c>
      <c r="L158" s="2">
        <v>45401</v>
      </c>
      <c r="M158" t="s">
        <v>713</v>
      </c>
      <c r="N158">
        <v>89</v>
      </c>
      <c r="O158">
        <v>21</v>
      </c>
      <c r="P158" t="s">
        <v>38</v>
      </c>
      <c r="Q158" t="str">
        <f t="shared" si="11"/>
        <v>Expiry before Received</v>
      </c>
      <c r="R158" s="3">
        <f t="shared" si="9"/>
        <v>114</v>
      </c>
      <c r="S158">
        <f t="shared" si="8"/>
        <v>42</v>
      </c>
      <c r="T158" t="str">
        <f t="shared" si="10"/>
        <v>Reorder Required</v>
      </c>
    </row>
    <row r="159" spans="1:20" x14ac:dyDescent="0.3">
      <c r="A159" t="s">
        <v>714</v>
      </c>
      <c r="B159" t="s">
        <v>496</v>
      </c>
      <c r="C159" t="s">
        <v>64</v>
      </c>
      <c r="D159" t="s">
        <v>715</v>
      </c>
      <c r="E159" t="s">
        <v>716</v>
      </c>
      <c r="F159">
        <v>92</v>
      </c>
      <c r="G159">
        <v>99</v>
      </c>
      <c r="H159">
        <v>93</v>
      </c>
      <c r="I159" s="1">
        <v>4</v>
      </c>
      <c r="J159" s="2">
        <v>45707</v>
      </c>
      <c r="K159" s="2">
        <v>45486</v>
      </c>
      <c r="L159" s="2">
        <v>45377</v>
      </c>
      <c r="M159" t="s">
        <v>717</v>
      </c>
      <c r="N159">
        <v>43</v>
      </c>
      <c r="O159">
        <v>90</v>
      </c>
      <c r="P159" t="s">
        <v>26</v>
      </c>
      <c r="Q159" t="str">
        <f t="shared" si="11"/>
        <v>Expiry before Received</v>
      </c>
      <c r="R159" s="3">
        <f t="shared" si="9"/>
        <v>368</v>
      </c>
      <c r="S159">
        <f t="shared" si="8"/>
        <v>7</v>
      </c>
      <c r="T159" t="str">
        <f t="shared" si="10"/>
        <v>Reorder Required</v>
      </c>
    </row>
    <row r="160" spans="1:20" x14ac:dyDescent="0.3">
      <c r="A160" t="s">
        <v>718</v>
      </c>
      <c r="B160" t="s">
        <v>719</v>
      </c>
      <c r="C160" t="s">
        <v>64</v>
      </c>
      <c r="D160" t="s">
        <v>720</v>
      </c>
      <c r="E160" t="s">
        <v>721</v>
      </c>
      <c r="F160">
        <v>88</v>
      </c>
      <c r="G160">
        <v>74</v>
      </c>
      <c r="H160">
        <v>97</v>
      </c>
      <c r="I160" s="1">
        <v>9</v>
      </c>
      <c r="J160" s="2">
        <v>45440</v>
      </c>
      <c r="K160" s="2">
        <v>45443</v>
      </c>
      <c r="L160" s="2">
        <v>45528</v>
      </c>
      <c r="M160" t="s">
        <v>722</v>
      </c>
      <c r="N160">
        <v>79</v>
      </c>
      <c r="O160">
        <v>5</v>
      </c>
      <c r="P160" t="s">
        <v>44</v>
      </c>
      <c r="Q160" t="str">
        <f t="shared" si="11"/>
        <v>OK</v>
      </c>
      <c r="R160" s="3">
        <f t="shared" si="9"/>
        <v>792</v>
      </c>
      <c r="S160">
        <f t="shared" si="8"/>
        <v>0</v>
      </c>
      <c r="T160" t="str">
        <f t="shared" si="10"/>
        <v>Sufficient Stock</v>
      </c>
    </row>
    <row r="161" spans="1:20" x14ac:dyDescent="0.3">
      <c r="A161" t="s">
        <v>723</v>
      </c>
      <c r="B161" t="s">
        <v>528</v>
      </c>
      <c r="C161" t="s">
        <v>47</v>
      </c>
      <c r="D161" t="s">
        <v>724</v>
      </c>
      <c r="E161" t="s">
        <v>725</v>
      </c>
      <c r="F161">
        <v>99</v>
      </c>
      <c r="G161">
        <v>8</v>
      </c>
      <c r="H161">
        <v>27</v>
      </c>
      <c r="I161" s="1">
        <v>5</v>
      </c>
      <c r="J161" s="2">
        <v>45489</v>
      </c>
      <c r="K161" s="2">
        <v>45486</v>
      </c>
      <c r="L161" s="2">
        <v>45514</v>
      </c>
      <c r="M161" t="s">
        <v>726</v>
      </c>
      <c r="N161">
        <v>41</v>
      </c>
      <c r="O161">
        <v>50</v>
      </c>
      <c r="P161" t="s">
        <v>26</v>
      </c>
      <c r="Q161" t="str">
        <f t="shared" si="11"/>
        <v>Last Order before Received</v>
      </c>
      <c r="R161" s="3">
        <f t="shared" si="9"/>
        <v>495</v>
      </c>
      <c r="S161">
        <f t="shared" si="8"/>
        <v>0</v>
      </c>
      <c r="T161" t="str">
        <f t="shared" si="10"/>
        <v>Sufficient Stock</v>
      </c>
    </row>
    <row r="162" spans="1:20" x14ac:dyDescent="0.3">
      <c r="A162" t="s">
        <v>727</v>
      </c>
      <c r="B162" t="s">
        <v>728</v>
      </c>
      <c r="C162" t="s">
        <v>64</v>
      </c>
      <c r="D162" t="s">
        <v>729</v>
      </c>
      <c r="E162" t="s">
        <v>730</v>
      </c>
      <c r="F162">
        <v>44</v>
      </c>
      <c r="G162">
        <v>84</v>
      </c>
      <c r="H162">
        <v>63</v>
      </c>
      <c r="I162" s="1">
        <v>2.5</v>
      </c>
      <c r="J162" s="2">
        <v>45502</v>
      </c>
      <c r="K162" s="2">
        <v>45393</v>
      </c>
      <c r="L162" s="2">
        <v>45560</v>
      </c>
      <c r="M162" t="s">
        <v>731</v>
      </c>
      <c r="N162">
        <v>51</v>
      </c>
      <c r="O162">
        <v>67</v>
      </c>
      <c r="P162" t="s">
        <v>26</v>
      </c>
      <c r="Q162" t="str">
        <f t="shared" si="11"/>
        <v>Last Order before Received</v>
      </c>
      <c r="R162" s="3">
        <f t="shared" si="9"/>
        <v>110</v>
      </c>
      <c r="S162">
        <f t="shared" si="8"/>
        <v>40</v>
      </c>
      <c r="T162" t="str">
        <f t="shared" si="10"/>
        <v>Reorder Required</v>
      </c>
    </row>
    <row r="163" spans="1:20" x14ac:dyDescent="0.3">
      <c r="A163" t="s">
        <v>732</v>
      </c>
      <c r="B163" t="s">
        <v>191</v>
      </c>
      <c r="C163" t="s">
        <v>29</v>
      </c>
      <c r="D163" t="s">
        <v>733</v>
      </c>
      <c r="E163" t="s">
        <v>734</v>
      </c>
      <c r="F163">
        <v>48</v>
      </c>
      <c r="G163">
        <v>77</v>
      </c>
      <c r="H163">
        <v>81</v>
      </c>
      <c r="I163" s="1">
        <v>31</v>
      </c>
      <c r="J163" s="2">
        <v>45685</v>
      </c>
      <c r="K163" s="2">
        <v>45570</v>
      </c>
      <c r="L163" s="2">
        <v>45633</v>
      </c>
      <c r="M163" t="s">
        <v>735</v>
      </c>
      <c r="N163">
        <v>70</v>
      </c>
      <c r="O163">
        <v>74</v>
      </c>
      <c r="P163" t="s">
        <v>38</v>
      </c>
      <c r="Q163" t="str">
        <f t="shared" si="11"/>
        <v>Expiry before Received</v>
      </c>
      <c r="R163" s="3">
        <f t="shared" si="9"/>
        <v>1488</v>
      </c>
      <c r="S163">
        <f t="shared" si="8"/>
        <v>29</v>
      </c>
      <c r="T163" t="str">
        <f t="shared" si="10"/>
        <v>Reorder Required</v>
      </c>
    </row>
    <row r="164" spans="1:20" x14ac:dyDescent="0.3">
      <c r="A164" t="s">
        <v>736</v>
      </c>
      <c r="B164" t="s">
        <v>737</v>
      </c>
      <c r="C164" t="s">
        <v>58</v>
      </c>
      <c r="D164" t="s">
        <v>738</v>
      </c>
      <c r="E164" t="s">
        <v>498</v>
      </c>
      <c r="F164">
        <v>27</v>
      </c>
      <c r="G164">
        <v>92</v>
      </c>
      <c r="H164">
        <v>56</v>
      </c>
      <c r="I164" s="1">
        <v>6.5</v>
      </c>
      <c r="J164" s="2">
        <v>45400</v>
      </c>
      <c r="K164" s="2">
        <v>45584</v>
      </c>
      <c r="L164" s="2">
        <v>45644</v>
      </c>
      <c r="M164" t="s">
        <v>739</v>
      </c>
      <c r="N164">
        <v>29</v>
      </c>
      <c r="O164">
        <v>32</v>
      </c>
      <c r="P164" t="s">
        <v>26</v>
      </c>
      <c r="Q164" t="str">
        <f t="shared" si="11"/>
        <v>OK</v>
      </c>
      <c r="R164" s="3">
        <f t="shared" si="9"/>
        <v>175.5</v>
      </c>
      <c r="S164">
        <f t="shared" si="8"/>
        <v>65</v>
      </c>
      <c r="T164" t="str">
        <f t="shared" si="10"/>
        <v>Reorder Required</v>
      </c>
    </row>
    <row r="165" spans="1:20" x14ac:dyDescent="0.3">
      <c r="A165" t="s">
        <v>740</v>
      </c>
      <c r="B165" t="s">
        <v>34</v>
      </c>
      <c r="C165" t="s">
        <v>22</v>
      </c>
      <c r="D165" t="s">
        <v>741</v>
      </c>
      <c r="E165" t="s">
        <v>742</v>
      </c>
      <c r="F165">
        <v>34</v>
      </c>
      <c r="G165">
        <v>96</v>
      </c>
      <c r="H165">
        <v>76</v>
      </c>
      <c r="I165" s="1">
        <v>6.15</v>
      </c>
      <c r="J165" s="2">
        <v>45568</v>
      </c>
      <c r="K165" s="2">
        <v>45632</v>
      </c>
      <c r="L165" s="2">
        <v>45672</v>
      </c>
      <c r="M165" t="s">
        <v>743</v>
      </c>
      <c r="N165">
        <v>90</v>
      </c>
      <c r="O165">
        <v>34</v>
      </c>
      <c r="P165" t="s">
        <v>26</v>
      </c>
      <c r="Q165" t="str">
        <f t="shared" si="11"/>
        <v>OK</v>
      </c>
      <c r="R165" s="3">
        <f t="shared" si="9"/>
        <v>209.10000000000002</v>
      </c>
      <c r="S165">
        <f t="shared" si="8"/>
        <v>62</v>
      </c>
      <c r="T165" t="str">
        <f t="shared" si="10"/>
        <v>Reorder Required</v>
      </c>
    </row>
    <row r="166" spans="1:20" x14ac:dyDescent="0.3">
      <c r="A166" t="s">
        <v>744</v>
      </c>
      <c r="B166" t="s">
        <v>274</v>
      </c>
      <c r="C166" t="s">
        <v>47</v>
      </c>
      <c r="D166" t="s">
        <v>745</v>
      </c>
      <c r="E166" t="s">
        <v>262</v>
      </c>
      <c r="F166">
        <v>41</v>
      </c>
      <c r="G166">
        <v>94</v>
      </c>
      <c r="H166">
        <v>4</v>
      </c>
      <c r="I166" s="1">
        <v>3</v>
      </c>
      <c r="J166" s="2">
        <v>45692</v>
      </c>
      <c r="K166" s="2">
        <v>45499</v>
      </c>
      <c r="L166" s="2">
        <v>45405</v>
      </c>
      <c r="M166" t="s">
        <v>746</v>
      </c>
      <c r="N166">
        <v>88</v>
      </c>
      <c r="O166">
        <v>92</v>
      </c>
      <c r="P166" t="s">
        <v>26</v>
      </c>
      <c r="Q166" t="str">
        <f t="shared" si="11"/>
        <v>Expiry before Received</v>
      </c>
      <c r="R166" s="3">
        <f t="shared" si="9"/>
        <v>123</v>
      </c>
      <c r="S166">
        <f t="shared" si="8"/>
        <v>53</v>
      </c>
      <c r="T166" t="str">
        <f t="shared" si="10"/>
        <v>Reorder Required</v>
      </c>
    </row>
    <row r="167" spans="1:20" x14ac:dyDescent="0.3">
      <c r="A167" t="s">
        <v>747</v>
      </c>
      <c r="B167" t="s">
        <v>316</v>
      </c>
      <c r="C167" t="s">
        <v>29</v>
      </c>
      <c r="D167" t="s">
        <v>748</v>
      </c>
      <c r="E167" t="s">
        <v>49</v>
      </c>
      <c r="F167">
        <v>56</v>
      </c>
      <c r="G167">
        <v>12</v>
      </c>
      <c r="H167">
        <v>85</v>
      </c>
      <c r="I167" s="1">
        <v>5</v>
      </c>
      <c r="J167" s="2">
        <v>45636</v>
      </c>
      <c r="K167" s="2">
        <v>45371</v>
      </c>
      <c r="L167" s="2">
        <v>45401</v>
      </c>
      <c r="M167" t="s">
        <v>749</v>
      </c>
      <c r="N167">
        <v>52</v>
      </c>
      <c r="O167">
        <v>46</v>
      </c>
      <c r="P167" t="s">
        <v>44</v>
      </c>
      <c r="Q167" t="str">
        <f t="shared" si="11"/>
        <v>Expiry before Received</v>
      </c>
      <c r="R167" s="3">
        <f t="shared" si="9"/>
        <v>280</v>
      </c>
      <c r="S167">
        <f t="shared" si="8"/>
        <v>0</v>
      </c>
      <c r="T167" t="str">
        <f t="shared" si="10"/>
        <v>Sufficient Stock</v>
      </c>
    </row>
    <row r="168" spans="1:20" x14ac:dyDescent="0.3">
      <c r="A168" t="s">
        <v>750</v>
      </c>
      <c r="B168" t="s">
        <v>751</v>
      </c>
      <c r="C168" t="s">
        <v>47</v>
      </c>
      <c r="D168" t="s">
        <v>752</v>
      </c>
      <c r="E168" t="s">
        <v>753</v>
      </c>
      <c r="F168">
        <v>22</v>
      </c>
      <c r="G168">
        <v>40</v>
      </c>
      <c r="H168">
        <v>7</v>
      </c>
      <c r="I168" s="1">
        <v>5</v>
      </c>
      <c r="J168" s="2">
        <v>45547</v>
      </c>
      <c r="K168" s="2">
        <v>45657</v>
      </c>
      <c r="L168" s="2">
        <v>45683</v>
      </c>
      <c r="M168" t="s">
        <v>754</v>
      </c>
      <c r="N168">
        <v>98</v>
      </c>
      <c r="O168">
        <v>60</v>
      </c>
      <c r="P168" t="s">
        <v>44</v>
      </c>
      <c r="Q168" t="str">
        <f t="shared" si="11"/>
        <v>OK</v>
      </c>
      <c r="R168" s="3">
        <f t="shared" si="9"/>
        <v>110</v>
      </c>
      <c r="S168">
        <f t="shared" si="8"/>
        <v>18</v>
      </c>
      <c r="T168" t="str">
        <f t="shared" si="10"/>
        <v>Reorder Required</v>
      </c>
    </row>
    <row r="169" spans="1:20" x14ac:dyDescent="0.3">
      <c r="A169" t="s">
        <v>755</v>
      </c>
      <c r="B169" t="s">
        <v>455</v>
      </c>
      <c r="C169" t="s">
        <v>58</v>
      </c>
      <c r="D169" t="s">
        <v>756</v>
      </c>
      <c r="E169" t="s">
        <v>757</v>
      </c>
      <c r="F169">
        <v>40</v>
      </c>
      <c r="G169">
        <v>2</v>
      </c>
      <c r="H169">
        <v>58</v>
      </c>
      <c r="I169" s="1">
        <v>1.8</v>
      </c>
      <c r="J169" s="2">
        <v>45596</v>
      </c>
      <c r="K169" s="2">
        <v>45517</v>
      </c>
      <c r="L169" s="2">
        <v>45604</v>
      </c>
      <c r="M169" t="s">
        <v>758</v>
      </c>
      <c r="N169">
        <v>71</v>
      </c>
      <c r="O169">
        <v>10</v>
      </c>
      <c r="P169" t="s">
        <v>44</v>
      </c>
      <c r="Q169" t="str">
        <f t="shared" si="11"/>
        <v>Last Order before Received</v>
      </c>
      <c r="R169" s="3">
        <f t="shared" si="9"/>
        <v>72</v>
      </c>
      <c r="S169">
        <f t="shared" si="8"/>
        <v>0</v>
      </c>
      <c r="T169" t="str">
        <f t="shared" si="10"/>
        <v>Sufficient Stock</v>
      </c>
    </row>
    <row r="170" spans="1:20" x14ac:dyDescent="0.3">
      <c r="A170" t="s">
        <v>759</v>
      </c>
      <c r="B170" t="s">
        <v>113</v>
      </c>
      <c r="C170" t="s">
        <v>64</v>
      </c>
      <c r="D170" t="s">
        <v>760</v>
      </c>
      <c r="E170" t="s">
        <v>761</v>
      </c>
      <c r="F170">
        <v>50</v>
      </c>
      <c r="G170">
        <v>99</v>
      </c>
      <c r="H170">
        <v>73</v>
      </c>
      <c r="I170" s="1">
        <v>8</v>
      </c>
      <c r="J170" s="2">
        <v>45424</v>
      </c>
      <c r="K170" s="2">
        <v>45527</v>
      </c>
      <c r="L170" s="2">
        <v>45429</v>
      </c>
      <c r="M170" t="s">
        <v>762</v>
      </c>
      <c r="N170">
        <v>42</v>
      </c>
      <c r="O170">
        <v>1</v>
      </c>
      <c r="P170" t="s">
        <v>38</v>
      </c>
      <c r="Q170" t="str">
        <f t="shared" si="11"/>
        <v>OK</v>
      </c>
      <c r="R170" s="3">
        <f t="shared" si="9"/>
        <v>400</v>
      </c>
      <c r="S170">
        <f t="shared" si="8"/>
        <v>49</v>
      </c>
      <c r="T170" t="str">
        <f t="shared" si="10"/>
        <v>Reorder Required</v>
      </c>
    </row>
    <row r="171" spans="1:20" x14ac:dyDescent="0.3">
      <c r="A171" t="s">
        <v>763</v>
      </c>
      <c r="B171" t="s">
        <v>224</v>
      </c>
      <c r="C171" t="s">
        <v>47</v>
      </c>
      <c r="D171" t="s">
        <v>764</v>
      </c>
      <c r="E171" t="s">
        <v>765</v>
      </c>
      <c r="F171">
        <v>89</v>
      </c>
      <c r="G171">
        <v>92</v>
      </c>
      <c r="H171">
        <v>62</v>
      </c>
      <c r="I171" s="1">
        <v>4.8</v>
      </c>
      <c r="J171" s="2">
        <v>45353</v>
      </c>
      <c r="K171" s="2">
        <v>45481</v>
      </c>
      <c r="L171" s="2">
        <v>45607</v>
      </c>
      <c r="M171" t="s">
        <v>766</v>
      </c>
      <c r="N171">
        <v>46</v>
      </c>
      <c r="O171">
        <v>11</v>
      </c>
      <c r="P171" t="s">
        <v>38</v>
      </c>
      <c r="Q171" t="str">
        <f t="shared" si="11"/>
        <v>OK</v>
      </c>
      <c r="R171" s="3">
        <f t="shared" si="9"/>
        <v>427.2</v>
      </c>
      <c r="S171">
        <f t="shared" si="8"/>
        <v>3</v>
      </c>
      <c r="T171" t="str">
        <f t="shared" si="10"/>
        <v>Reorder Required</v>
      </c>
    </row>
    <row r="172" spans="1:20" x14ac:dyDescent="0.3">
      <c r="A172" t="s">
        <v>767</v>
      </c>
      <c r="B172" t="s">
        <v>728</v>
      </c>
      <c r="C172" t="s">
        <v>64</v>
      </c>
      <c r="D172" t="s">
        <v>768</v>
      </c>
      <c r="E172" t="s">
        <v>437</v>
      </c>
      <c r="F172">
        <v>76</v>
      </c>
      <c r="G172">
        <v>54</v>
      </c>
      <c r="H172">
        <v>76</v>
      </c>
      <c r="I172" s="1">
        <v>2.5</v>
      </c>
      <c r="J172" s="2">
        <v>45566</v>
      </c>
      <c r="K172" s="2">
        <v>45521</v>
      </c>
      <c r="L172" s="2">
        <v>45438</v>
      </c>
      <c r="M172" t="s">
        <v>769</v>
      </c>
      <c r="N172">
        <v>69</v>
      </c>
      <c r="O172">
        <v>27</v>
      </c>
      <c r="P172" t="s">
        <v>38</v>
      </c>
      <c r="Q172" t="str">
        <f t="shared" si="11"/>
        <v>Expiry before Received</v>
      </c>
      <c r="R172" s="3">
        <f t="shared" si="9"/>
        <v>190</v>
      </c>
      <c r="S172">
        <f t="shared" si="8"/>
        <v>0</v>
      </c>
      <c r="T172" t="str">
        <f t="shared" si="10"/>
        <v>Sufficient Stock</v>
      </c>
    </row>
    <row r="173" spans="1:20" x14ac:dyDescent="0.3">
      <c r="A173" t="s">
        <v>770</v>
      </c>
      <c r="B173" t="s">
        <v>771</v>
      </c>
      <c r="C173" t="s">
        <v>22</v>
      </c>
      <c r="D173" t="s">
        <v>772</v>
      </c>
      <c r="E173" t="s">
        <v>583</v>
      </c>
      <c r="F173">
        <v>67</v>
      </c>
      <c r="G173">
        <v>60</v>
      </c>
      <c r="H173">
        <v>21</v>
      </c>
      <c r="I173" s="1">
        <v>2.75</v>
      </c>
      <c r="J173" s="2">
        <v>45385</v>
      </c>
      <c r="K173" s="2">
        <v>45432</v>
      </c>
      <c r="L173" s="2">
        <v>45541</v>
      </c>
      <c r="M173" t="s">
        <v>773</v>
      </c>
      <c r="N173">
        <v>30</v>
      </c>
      <c r="O173">
        <v>6</v>
      </c>
      <c r="P173" t="s">
        <v>44</v>
      </c>
      <c r="Q173" t="str">
        <f t="shared" si="11"/>
        <v>OK</v>
      </c>
      <c r="R173" s="3">
        <f t="shared" si="9"/>
        <v>184.25</v>
      </c>
      <c r="S173">
        <f t="shared" si="8"/>
        <v>0</v>
      </c>
      <c r="T173" t="str">
        <f t="shared" si="10"/>
        <v>Sufficient Stock</v>
      </c>
    </row>
    <row r="174" spans="1:20" x14ac:dyDescent="0.3">
      <c r="A174" t="s">
        <v>774</v>
      </c>
      <c r="B174" t="s">
        <v>775</v>
      </c>
      <c r="C174" t="s">
        <v>29</v>
      </c>
      <c r="D174" t="s">
        <v>776</v>
      </c>
      <c r="E174" t="s">
        <v>777</v>
      </c>
      <c r="F174">
        <v>62</v>
      </c>
      <c r="G174">
        <v>78</v>
      </c>
      <c r="H174">
        <v>97</v>
      </c>
      <c r="I174" s="1">
        <v>10</v>
      </c>
      <c r="J174" s="2">
        <v>45390</v>
      </c>
      <c r="K174" s="2">
        <v>45533</v>
      </c>
      <c r="L174" s="2">
        <v>45377</v>
      </c>
      <c r="M174" t="s">
        <v>778</v>
      </c>
      <c r="N174">
        <v>62</v>
      </c>
      <c r="O174">
        <v>97</v>
      </c>
      <c r="P174" t="s">
        <v>26</v>
      </c>
      <c r="Q174" t="str">
        <f t="shared" si="11"/>
        <v>Expiry before Received</v>
      </c>
      <c r="R174" s="3">
        <f t="shared" si="9"/>
        <v>620</v>
      </c>
      <c r="S174">
        <f t="shared" si="8"/>
        <v>16</v>
      </c>
      <c r="T174" t="str">
        <f t="shared" si="10"/>
        <v>Reorder Required</v>
      </c>
    </row>
    <row r="175" spans="1:20" x14ac:dyDescent="0.3">
      <c r="A175" t="s">
        <v>779</v>
      </c>
      <c r="B175" t="s">
        <v>780</v>
      </c>
      <c r="C175" t="s">
        <v>47</v>
      </c>
      <c r="D175" t="s">
        <v>781</v>
      </c>
      <c r="E175" t="s">
        <v>782</v>
      </c>
      <c r="F175">
        <v>75</v>
      </c>
      <c r="G175">
        <v>10</v>
      </c>
      <c r="H175">
        <v>68</v>
      </c>
      <c r="I175" s="1">
        <v>3</v>
      </c>
      <c r="J175" s="2">
        <v>45546</v>
      </c>
      <c r="K175" s="2">
        <v>45667</v>
      </c>
      <c r="L175" s="2">
        <v>45629</v>
      </c>
      <c r="M175" t="s">
        <v>783</v>
      </c>
      <c r="N175">
        <v>90</v>
      </c>
      <c r="O175">
        <v>42</v>
      </c>
      <c r="P175" t="s">
        <v>44</v>
      </c>
      <c r="Q175" t="str">
        <f t="shared" si="11"/>
        <v>OK</v>
      </c>
      <c r="R175" s="3">
        <f t="shared" si="9"/>
        <v>225</v>
      </c>
      <c r="S175">
        <f t="shared" si="8"/>
        <v>0</v>
      </c>
      <c r="T175" t="str">
        <f t="shared" si="10"/>
        <v>Sufficient Stock</v>
      </c>
    </row>
    <row r="176" spans="1:20" x14ac:dyDescent="0.3">
      <c r="A176" t="s">
        <v>784</v>
      </c>
      <c r="B176" t="s">
        <v>286</v>
      </c>
      <c r="C176" t="s">
        <v>29</v>
      </c>
      <c r="D176" t="s">
        <v>785</v>
      </c>
      <c r="E176" t="s">
        <v>786</v>
      </c>
      <c r="F176">
        <v>75</v>
      </c>
      <c r="G176">
        <v>47</v>
      </c>
      <c r="H176">
        <v>33</v>
      </c>
      <c r="I176" s="1">
        <v>12.5</v>
      </c>
      <c r="J176" s="2">
        <v>45469</v>
      </c>
      <c r="K176" s="2">
        <v>45635</v>
      </c>
      <c r="L176" s="2">
        <v>45435</v>
      </c>
      <c r="M176" t="s">
        <v>787</v>
      </c>
      <c r="N176">
        <v>33</v>
      </c>
      <c r="O176">
        <v>12</v>
      </c>
      <c r="P176" t="s">
        <v>26</v>
      </c>
      <c r="Q176" t="str">
        <f t="shared" si="11"/>
        <v>Expiry before Received</v>
      </c>
      <c r="R176" s="3">
        <f t="shared" si="9"/>
        <v>937.5</v>
      </c>
      <c r="S176">
        <f t="shared" si="8"/>
        <v>0</v>
      </c>
      <c r="T176" t="str">
        <f t="shared" si="10"/>
        <v>Sufficient Stock</v>
      </c>
    </row>
    <row r="177" spans="1:20" x14ac:dyDescent="0.3">
      <c r="A177" t="s">
        <v>788</v>
      </c>
      <c r="B177" t="s">
        <v>407</v>
      </c>
      <c r="C177" t="s">
        <v>64</v>
      </c>
      <c r="D177" t="s">
        <v>789</v>
      </c>
      <c r="E177" t="s">
        <v>765</v>
      </c>
      <c r="F177">
        <v>29</v>
      </c>
      <c r="G177">
        <v>32</v>
      </c>
      <c r="H177">
        <v>26</v>
      </c>
      <c r="I177" s="1">
        <v>2.5</v>
      </c>
      <c r="J177" s="2">
        <v>45556</v>
      </c>
      <c r="K177" s="2">
        <v>45458</v>
      </c>
      <c r="L177" s="2">
        <v>45550</v>
      </c>
      <c r="M177" t="s">
        <v>790</v>
      </c>
      <c r="N177">
        <v>64</v>
      </c>
      <c r="O177">
        <v>85</v>
      </c>
      <c r="P177" t="s">
        <v>26</v>
      </c>
      <c r="Q177" t="str">
        <f t="shared" si="11"/>
        <v>Expiry before Received</v>
      </c>
      <c r="R177" s="3">
        <f t="shared" si="9"/>
        <v>72.5</v>
      </c>
      <c r="S177">
        <f t="shared" si="8"/>
        <v>3</v>
      </c>
      <c r="T177" t="str">
        <f t="shared" si="10"/>
        <v>Reorder Required</v>
      </c>
    </row>
    <row r="178" spans="1:20" x14ac:dyDescent="0.3">
      <c r="A178" t="s">
        <v>791</v>
      </c>
      <c r="B178" t="s">
        <v>167</v>
      </c>
      <c r="C178" t="s">
        <v>89</v>
      </c>
      <c r="D178" t="s">
        <v>792</v>
      </c>
      <c r="E178" t="s">
        <v>793</v>
      </c>
      <c r="F178">
        <v>34</v>
      </c>
      <c r="G178">
        <v>55</v>
      </c>
      <c r="H178">
        <v>22</v>
      </c>
      <c r="I178" s="1">
        <v>5</v>
      </c>
      <c r="J178" s="2">
        <v>45576</v>
      </c>
      <c r="K178" s="2">
        <v>45472</v>
      </c>
      <c r="L178" s="2">
        <v>45611</v>
      </c>
      <c r="M178" t="s">
        <v>794</v>
      </c>
      <c r="N178">
        <v>77</v>
      </c>
      <c r="O178">
        <v>85</v>
      </c>
      <c r="P178" t="s">
        <v>44</v>
      </c>
      <c r="Q178" t="str">
        <f t="shared" si="11"/>
        <v>Last Order before Received</v>
      </c>
      <c r="R178" s="3">
        <f t="shared" si="9"/>
        <v>170</v>
      </c>
      <c r="S178">
        <f t="shared" si="8"/>
        <v>21</v>
      </c>
      <c r="T178" t="str">
        <f t="shared" si="10"/>
        <v>Reorder Required</v>
      </c>
    </row>
    <row r="179" spans="1:20" x14ac:dyDescent="0.3">
      <c r="A179" t="s">
        <v>795</v>
      </c>
      <c r="B179" t="s">
        <v>672</v>
      </c>
      <c r="C179" t="s">
        <v>29</v>
      </c>
      <c r="D179" t="s">
        <v>796</v>
      </c>
      <c r="E179" t="s">
        <v>797</v>
      </c>
      <c r="F179">
        <v>15</v>
      </c>
      <c r="G179">
        <v>66</v>
      </c>
      <c r="H179">
        <v>85</v>
      </c>
      <c r="I179" s="1">
        <v>8</v>
      </c>
      <c r="J179" s="2">
        <v>45583</v>
      </c>
      <c r="K179" s="2">
        <v>45476</v>
      </c>
      <c r="L179" s="2">
        <v>45366</v>
      </c>
      <c r="M179" t="s">
        <v>798</v>
      </c>
      <c r="N179">
        <v>60</v>
      </c>
      <c r="O179">
        <v>40</v>
      </c>
      <c r="P179" t="s">
        <v>38</v>
      </c>
      <c r="Q179" t="str">
        <f t="shared" si="11"/>
        <v>Expiry before Received</v>
      </c>
      <c r="R179" s="3">
        <f t="shared" si="9"/>
        <v>120</v>
      </c>
      <c r="S179">
        <f t="shared" si="8"/>
        <v>51</v>
      </c>
      <c r="T179" t="str">
        <f t="shared" si="10"/>
        <v>Reorder Required</v>
      </c>
    </row>
    <row r="180" spans="1:20" x14ac:dyDescent="0.3">
      <c r="A180" t="s">
        <v>799</v>
      </c>
      <c r="B180" t="s">
        <v>800</v>
      </c>
      <c r="C180" t="s">
        <v>132</v>
      </c>
      <c r="D180" t="s">
        <v>801</v>
      </c>
      <c r="E180" t="s">
        <v>802</v>
      </c>
      <c r="F180">
        <v>88</v>
      </c>
      <c r="G180">
        <v>56</v>
      </c>
      <c r="H180">
        <v>81</v>
      </c>
      <c r="I180" s="1">
        <v>10</v>
      </c>
      <c r="J180" s="2">
        <v>45422</v>
      </c>
      <c r="K180" s="2">
        <v>45361</v>
      </c>
      <c r="L180" s="2">
        <v>45549</v>
      </c>
      <c r="M180" t="s">
        <v>803</v>
      </c>
      <c r="N180">
        <v>98</v>
      </c>
      <c r="O180">
        <v>86</v>
      </c>
      <c r="P180" t="s">
        <v>26</v>
      </c>
      <c r="Q180" t="str">
        <f t="shared" si="11"/>
        <v>Last Order before Received</v>
      </c>
      <c r="R180" s="3">
        <f t="shared" si="9"/>
        <v>880</v>
      </c>
      <c r="S180">
        <f t="shared" si="8"/>
        <v>0</v>
      </c>
      <c r="T180" t="str">
        <f t="shared" si="10"/>
        <v>Sufficient Stock</v>
      </c>
    </row>
    <row r="181" spans="1:20" x14ac:dyDescent="0.3">
      <c r="A181" t="s">
        <v>804</v>
      </c>
      <c r="B181" t="s">
        <v>719</v>
      </c>
      <c r="C181" t="s">
        <v>64</v>
      </c>
      <c r="D181" t="s">
        <v>805</v>
      </c>
      <c r="E181" t="s">
        <v>806</v>
      </c>
      <c r="F181">
        <v>40</v>
      </c>
      <c r="G181">
        <v>81</v>
      </c>
      <c r="H181">
        <v>40</v>
      </c>
      <c r="I181" s="1">
        <v>9</v>
      </c>
      <c r="J181" s="2">
        <v>45574</v>
      </c>
      <c r="K181" s="2">
        <v>45410</v>
      </c>
      <c r="L181" s="2">
        <v>45595</v>
      </c>
      <c r="M181" t="s">
        <v>807</v>
      </c>
      <c r="N181">
        <v>40</v>
      </c>
      <c r="O181">
        <v>48</v>
      </c>
      <c r="P181" t="s">
        <v>38</v>
      </c>
      <c r="Q181" t="str">
        <f t="shared" si="11"/>
        <v>Last Order before Received</v>
      </c>
      <c r="R181" s="3">
        <f t="shared" si="9"/>
        <v>360</v>
      </c>
      <c r="S181">
        <f t="shared" si="8"/>
        <v>41</v>
      </c>
      <c r="T181" t="str">
        <f t="shared" si="10"/>
        <v>Reorder Required</v>
      </c>
    </row>
    <row r="182" spans="1:20" x14ac:dyDescent="0.3">
      <c r="A182" t="s">
        <v>808</v>
      </c>
      <c r="B182" t="s">
        <v>603</v>
      </c>
      <c r="C182" t="s">
        <v>58</v>
      </c>
      <c r="D182" t="s">
        <v>809</v>
      </c>
      <c r="E182" t="s">
        <v>810</v>
      </c>
      <c r="F182">
        <v>10</v>
      </c>
      <c r="G182">
        <v>86</v>
      </c>
      <c r="H182">
        <v>23</v>
      </c>
      <c r="I182" s="1">
        <v>10</v>
      </c>
      <c r="J182" s="2">
        <v>45472</v>
      </c>
      <c r="K182" s="2">
        <v>45622</v>
      </c>
      <c r="L182" s="2">
        <v>45639</v>
      </c>
      <c r="M182" t="s">
        <v>811</v>
      </c>
      <c r="N182">
        <v>24</v>
      </c>
      <c r="O182">
        <v>52</v>
      </c>
      <c r="P182" t="s">
        <v>38</v>
      </c>
      <c r="Q182" t="str">
        <f t="shared" si="11"/>
        <v>OK</v>
      </c>
      <c r="R182" s="3">
        <f t="shared" si="9"/>
        <v>100</v>
      </c>
      <c r="S182">
        <f t="shared" si="8"/>
        <v>76</v>
      </c>
      <c r="T182" t="str">
        <f t="shared" si="10"/>
        <v>Reorder Required</v>
      </c>
    </row>
    <row r="183" spans="1:20" x14ac:dyDescent="0.3">
      <c r="A183" t="s">
        <v>812</v>
      </c>
      <c r="B183" t="s">
        <v>28</v>
      </c>
      <c r="C183" t="s">
        <v>29</v>
      </c>
      <c r="D183" t="s">
        <v>813</v>
      </c>
      <c r="E183" t="s">
        <v>31</v>
      </c>
      <c r="F183">
        <v>21</v>
      </c>
      <c r="G183">
        <v>87</v>
      </c>
      <c r="H183">
        <v>12</v>
      </c>
      <c r="I183" s="1">
        <v>21</v>
      </c>
      <c r="J183" s="2">
        <v>45613</v>
      </c>
      <c r="K183" s="2">
        <v>45537</v>
      </c>
      <c r="L183" s="2">
        <v>45542</v>
      </c>
      <c r="M183" t="s">
        <v>814</v>
      </c>
      <c r="N183">
        <v>20</v>
      </c>
      <c r="O183">
        <v>38</v>
      </c>
      <c r="P183" t="s">
        <v>26</v>
      </c>
      <c r="Q183" t="str">
        <f t="shared" si="11"/>
        <v>Expiry before Received</v>
      </c>
      <c r="R183" s="3">
        <f t="shared" si="9"/>
        <v>441</v>
      </c>
      <c r="S183">
        <f t="shared" si="8"/>
        <v>66</v>
      </c>
      <c r="T183" t="str">
        <f t="shared" si="10"/>
        <v>Reorder Required</v>
      </c>
    </row>
    <row r="184" spans="1:20" x14ac:dyDescent="0.3">
      <c r="A184" t="s">
        <v>815</v>
      </c>
      <c r="B184" t="s">
        <v>131</v>
      </c>
      <c r="C184" t="s">
        <v>132</v>
      </c>
      <c r="D184" t="s">
        <v>816</v>
      </c>
      <c r="E184" t="s">
        <v>817</v>
      </c>
      <c r="F184">
        <v>75</v>
      </c>
      <c r="G184">
        <v>25</v>
      </c>
      <c r="H184">
        <v>99</v>
      </c>
      <c r="I184" s="1">
        <v>12</v>
      </c>
      <c r="J184" s="2">
        <v>45585</v>
      </c>
      <c r="K184" s="2">
        <v>45441</v>
      </c>
      <c r="L184" s="2">
        <v>45486</v>
      </c>
      <c r="M184" t="s">
        <v>818</v>
      </c>
      <c r="N184">
        <v>89</v>
      </c>
      <c r="O184">
        <v>42</v>
      </c>
      <c r="P184" t="s">
        <v>44</v>
      </c>
      <c r="Q184" t="str">
        <f t="shared" si="11"/>
        <v>Expiry before Received</v>
      </c>
      <c r="R184" s="3">
        <f t="shared" si="9"/>
        <v>900</v>
      </c>
      <c r="S184">
        <f t="shared" si="8"/>
        <v>0</v>
      </c>
      <c r="T184" t="str">
        <f t="shared" si="10"/>
        <v>Sufficient Stock</v>
      </c>
    </row>
    <row r="185" spans="1:20" x14ac:dyDescent="0.3">
      <c r="A185" t="s">
        <v>819</v>
      </c>
      <c r="B185" t="s">
        <v>532</v>
      </c>
      <c r="C185" t="s">
        <v>132</v>
      </c>
      <c r="D185" t="s">
        <v>820</v>
      </c>
      <c r="E185" t="s">
        <v>821</v>
      </c>
      <c r="F185">
        <v>56</v>
      </c>
      <c r="G185">
        <v>50</v>
      </c>
      <c r="H185">
        <v>80</v>
      </c>
      <c r="I185" s="1">
        <v>8</v>
      </c>
      <c r="J185" s="2">
        <v>45712</v>
      </c>
      <c r="K185" s="2">
        <v>45363</v>
      </c>
      <c r="L185" s="2">
        <v>45587</v>
      </c>
      <c r="M185" t="s">
        <v>822</v>
      </c>
      <c r="N185">
        <v>99</v>
      </c>
      <c r="O185">
        <v>5</v>
      </c>
      <c r="P185" t="s">
        <v>26</v>
      </c>
      <c r="Q185" t="str">
        <f t="shared" si="11"/>
        <v>Expiry before Received</v>
      </c>
      <c r="R185" s="3">
        <f t="shared" si="9"/>
        <v>448</v>
      </c>
      <c r="S185">
        <f t="shared" si="8"/>
        <v>0</v>
      </c>
      <c r="T185" t="str">
        <f t="shared" si="10"/>
        <v>Sufficient Stock</v>
      </c>
    </row>
    <row r="186" spans="1:20" x14ac:dyDescent="0.3">
      <c r="A186" t="s">
        <v>823</v>
      </c>
      <c r="B186" t="s">
        <v>88</v>
      </c>
      <c r="C186" t="s">
        <v>89</v>
      </c>
      <c r="D186" t="s">
        <v>824</v>
      </c>
      <c r="E186" t="s">
        <v>825</v>
      </c>
      <c r="F186">
        <v>69</v>
      </c>
      <c r="G186">
        <v>65</v>
      </c>
      <c r="H186">
        <v>91</v>
      </c>
      <c r="I186" s="1">
        <v>3</v>
      </c>
      <c r="J186" s="2">
        <v>45478</v>
      </c>
      <c r="K186" s="2">
        <v>45499</v>
      </c>
      <c r="L186" s="2">
        <v>45390</v>
      </c>
      <c r="M186" t="s">
        <v>826</v>
      </c>
      <c r="N186">
        <v>98</v>
      </c>
      <c r="O186">
        <v>50</v>
      </c>
      <c r="P186" t="s">
        <v>38</v>
      </c>
      <c r="Q186" t="str">
        <f t="shared" si="11"/>
        <v>Expiry before Received</v>
      </c>
      <c r="R186" s="3">
        <f t="shared" si="9"/>
        <v>207</v>
      </c>
      <c r="S186">
        <f t="shared" si="8"/>
        <v>0</v>
      </c>
      <c r="T186" t="str">
        <f t="shared" si="10"/>
        <v>Sufficient Stock</v>
      </c>
    </row>
    <row r="187" spans="1:20" x14ac:dyDescent="0.3">
      <c r="A187" t="s">
        <v>827</v>
      </c>
      <c r="B187" t="s">
        <v>828</v>
      </c>
      <c r="C187" t="s">
        <v>22</v>
      </c>
      <c r="D187" t="s">
        <v>829</v>
      </c>
      <c r="E187" t="s">
        <v>830</v>
      </c>
      <c r="F187">
        <v>56</v>
      </c>
      <c r="G187">
        <v>53</v>
      </c>
      <c r="H187">
        <v>77</v>
      </c>
      <c r="I187" s="1">
        <v>4.5</v>
      </c>
      <c r="J187" s="2">
        <v>45485</v>
      </c>
      <c r="K187" s="2">
        <v>45497</v>
      </c>
      <c r="L187" s="2">
        <v>45685</v>
      </c>
      <c r="M187" t="s">
        <v>831</v>
      </c>
      <c r="N187">
        <v>69</v>
      </c>
      <c r="O187">
        <v>69</v>
      </c>
      <c r="P187" t="s">
        <v>44</v>
      </c>
      <c r="Q187" t="str">
        <f t="shared" si="11"/>
        <v>OK</v>
      </c>
      <c r="R187" s="3">
        <f t="shared" si="9"/>
        <v>252</v>
      </c>
      <c r="S187">
        <f t="shared" si="8"/>
        <v>0</v>
      </c>
      <c r="T187" t="str">
        <f t="shared" si="10"/>
        <v>Sufficient Stock</v>
      </c>
    </row>
    <row r="188" spans="1:20" x14ac:dyDescent="0.3">
      <c r="A188" t="s">
        <v>832</v>
      </c>
      <c r="B188" t="s">
        <v>83</v>
      </c>
      <c r="C188" t="s">
        <v>22</v>
      </c>
      <c r="D188" t="s">
        <v>833</v>
      </c>
      <c r="E188" t="s">
        <v>346</v>
      </c>
      <c r="F188">
        <v>24</v>
      </c>
      <c r="G188">
        <v>69</v>
      </c>
      <c r="H188">
        <v>2</v>
      </c>
      <c r="I188" s="1">
        <v>2</v>
      </c>
      <c r="J188" s="2">
        <v>45570</v>
      </c>
      <c r="K188" s="2">
        <v>45395</v>
      </c>
      <c r="L188" s="2">
        <v>45649</v>
      </c>
      <c r="M188" t="s">
        <v>834</v>
      </c>
      <c r="N188">
        <v>20</v>
      </c>
      <c r="O188">
        <v>20</v>
      </c>
      <c r="P188" t="s">
        <v>38</v>
      </c>
      <c r="Q188" t="str">
        <f t="shared" si="11"/>
        <v>Last Order before Received</v>
      </c>
      <c r="R188" s="3">
        <f t="shared" si="9"/>
        <v>48</v>
      </c>
      <c r="S188">
        <f t="shared" si="8"/>
        <v>45</v>
      </c>
      <c r="T188" t="str">
        <f t="shared" si="10"/>
        <v>Reorder Required</v>
      </c>
    </row>
    <row r="189" spans="1:20" x14ac:dyDescent="0.3">
      <c r="A189" t="s">
        <v>835</v>
      </c>
      <c r="B189" t="s">
        <v>265</v>
      </c>
      <c r="C189" t="s">
        <v>89</v>
      </c>
      <c r="D189" t="s">
        <v>836</v>
      </c>
      <c r="E189" t="s">
        <v>71</v>
      </c>
      <c r="F189">
        <v>30</v>
      </c>
      <c r="G189">
        <v>85</v>
      </c>
      <c r="H189">
        <v>21</v>
      </c>
      <c r="I189" s="1">
        <v>4.5</v>
      </c>
      <c r="J189" s="2">
        <v>45645</v>
      </c>
      <c r="K189" s="2">
        <v>45559</v>
      </c>
      <c r="L189" s="2">
        <v>45616</v>
      </c>
      <c r="M189" t="s">
        <v>837</v>
      </c>
      <c r="N189">
        <v>32</v>
      </c>
      <c r="O189">
        <v>83</v>
      </c>
      <c r="P189" t="s">
        <v>26</v>
      </c>
      <c r="Q189" t="str">
        <f t="shared" si="11"/>
        <v>Expiry before Received</v>
      </c>
      <c r="R189" s="3">
        <f t="shared" si="9"/>
        <v>135</v>
      </c>
      <c r="S189">
        <f t="shared" si="8"/>
        <v>55</v>
      </c>
      <c r="T189" t="str">
        <f t="shared" si="10"/>
        <v>Reorder Required</v>
      </c>
    </row>
    <row r="190" spans="1:20" x14ac:dyDescent="0.3">
      <c r="A190" t="s">
        <v>838</v>
      </c>
      <c r="B190" t="s">
        <v>336</v>
      </c>
      <c r="C190" t="s">
        <v>29</v>
      </c>
      <c r="D190" t="s">
        <v>839</v>
      </c>
      <c r="E190" t="s">
        <v>840</v>
      </c>
      <c r="F190">
        <v>36</v>
      </c>
      <c r="G190">
        <v>90</v>
      </c>
      <c r="H190">
        <v>57</v>
      </c>
      <c r="I190" s="1">
        <v>25</v>
      </c>
      <c r="J190" s="2">
        <v>45637</v>
      </c>
      <c r="K190" s="2">
        <v>45511</v>
      </c>
      <c r="L190" s="2">
        <v>45430</v>
      </c>
      <c r="M190" t="s">
        <v>841</v>
      </c>
      <c r="N190">
        <v>35</v>
      </c>
      <c r="O190">
        <v>68</v>
      </c>
      <c r="P190" t="s">
        <v>38</v>
      </c>
      <c r="Q190" t="str">
        <f t="shared" si="11"/>
        <v>Expiry before Received</v>
      </c>
      <c r="R190" s="3">
        <f t="shared" si="9"/>
        <v>900</v>
      </c>
      <c r="S190">
        <f t="shared" si="8"/>
        <v>54</v>
      </c>
      <c r="T190" t="str">
        <f t="shared" si="10"/>
        <v>Reorder Required</v>
      </c>
    </row>
    <row r="191" spans="1:20" x14ac:dyDescent="0.3">
      <c r="A191" t="s">
        <v>842</v>
      </c>
      <c r="B191" t="s">
        <v>282</v>
      </c>
      <c r="C191" t="s">
        <v>89</v>
      </c>
      <c r="D191" t="s">
        <v>843</v>
      </c>
      <c r="E191" t="s">
        <v>844</v>
      </c>
      <c r="F191">
        <v>93</v>
      </c>
      <c r="G191">
        <v>76</v>
      </c>
      <c r="H191">
        <v>82</v>
      </c>
      <c r="I191" s="1">
        <v>2.5</v>
      </c>
      <c r="J191" s="2">
        <v>45437</v>
      </c>
      <c r="K191" s="2">
        <v>45501</v>
      </c>
      <c r="L191" s="2">
        <v>45676</v>
      </c>
      <c r="M191" t="s">
        <v>845</v>
      </c>
      <c r="N191">
        <v>76</v>
      </c>
      <c r="O191">
        <v>51</v>
      </c>
      <c r="P191" t="s">
        <v>38</v>
      </c>
      <c r="Q191" t="str">
        <f t="shared" si="11"/>
        <v>OK</v>
      </c>
      <c r="R191" s="3">
        <f t="shared" si="9"/>
        <v>232.5</v>
      </c>
      <c r="S191">
        <f t="shared" si="8"/>
        <v>0</v>
      </c>
      <c r="T191" t="str">
        <f t="shared" si="10"/>
        <v>Sufficient Stock</v>
      </c>
    </row>
    <row r="192" spans="1:20" x14ac:dyDescent="0.3">
      <c r="A192" t="s">
        <v>846</v>
      </c>
      <c r="B192" t="s">
        <v>344</v>
      </c>
      <c r="C192" t="s">
        <v>64</v>
      </c>
      <c r="D192" t="s">
        <v>847</v>
      </c>
      <c r="E192" t="s">
        <v>848</v>
      </c>
      <c r="F192">
        <v>96</v>
      </c>
      <c r="G192">
        <v>38</v>
      </c>
      <c r="H192">
        <v>17</v>
      </c>
      <c r="I192" s="1">
        <v>7</v>
      </c>
      <c r="J192" s="2">
        <v>45401</v>
      </c>
      <c r="K192" s="2">
        <v>45566</v>
      </c>
      <c r="L192" s="2">
        <v>45607</v>
      </c>
      <c r="M192" t="s">
        <v>849</v>
      </c>
      <c r="N192">
        <v>72</v>
      </c>
      <c r="O192">
        <v>84</v>
      </c>
      <c r="P192" t="s">
        <v>44</v>
      </c>
      <c r="Q192" t="str">
        <f t="shared" si="11"/>
        <v>OK</v>
      </c>
      <c r="R192" s="3">
        <f t="shared" si="9"/>
        <v>672</v>
      </c>
      <c r="S192">
        <f t="shared" si="8"/>
        <v>0</v>
      </c>
      <c r="T192" t="str">
        <f t="shared" si="10"/>
        <v>Sufficient Stock</v>
      </c>
    </row>
    <row r="193" spans="1:20" x14ac:dyDescent="0.3">
      <c r="A193" t="s">
        <v>850</v>
      </c>
      <c r="B193" t="s">
        <v>435</v>
      </c>
      <c r="C193" t="s">
        <v>58</v>
      </c>
      <c r="D193" t="s">
        <v>851</v>
      </c>
      <c r="E193" t="s">
        <v>609</v>
      </c>
      <c r="F193">
        <v>60</v>
      </c>
      <c r="G193">
        <v>88</v>
      </c>
      <c r="H193">
        <v>65</v>
      </c>
      <c r="I193" s="1">
        <v>4</v>
      </c>
      <c r="J193" s="2">
        <v>45533</v>
      </c>
      <c r="K193" s="2">
        <v>45673</v>
      </c>
      <c r="L193" s="2">
        <v>45458</v>
      </c>
      <c r="M193" t="s">
        <v>852</v>
      </c>
      <c r="N193">
        <v>94</v>
      </c>
      <c r="O193">
        <v>15</v>
      </c>
      <c r="P193" t="s">
        <v>44</v>
      </c>
      <c r="Q193" t="str">
        <f t="shared" si="11"/>
        <v>Expiry before Received</v>
      </c>
      <c r="R193" s="3">
        <f t="shared" si="9"/>
        <v>240</v>
      </c>
      <c r="S193">
        <f t="shared" si="8"/>
        <v>28</v>
      </c>
      <c r="T193" t="str">
        <f t="shared" si="10"/>
        <v>Reorder Required</v>
      </c>
    </row>
    <row r="194" spans="1:20" x14ac:dyDescent="0.3">
      <c r="A194" t="s">
        <v>853</v>
      </c>
      <c r="B194" t="s">
        <v>612</v>
      </c>
      <c r="C194" t="s">
        <v>64</v>
      </c>
      <c r="D194" t="s">
        <v>854</v>
      </c>
      <c r="E194" t="s">
        <v>662</v>
      </c>
      <c r="F194">
        <v>97</v>
      </c>
      <c r="G194">
        <v>77</v>
      </c>
      <c r="H194">
        <v>13</v>
      </c>
      <c r="I194" s="1">
        <v>7</v>
      </c>
      <c r="J194" s="2">
        <v>45607</v>
      </c>
      <c r="K194" s="2">
        <v>45550</v>
      </c>
      <c r="L194" s="2">
        <v>45475</v>
      </c>
      <c r="M194" t="s">
        <v>855</v>
      </c>
      <c r="N194">
        <v>43</v>
      </c>
      <c r="O194">
        <v>40</v>
      </c>
      <c r="P194" t="s">
        <v>38</v>
      </c>
      <c r="Q194" t="str">
        <f t="shared" si="11"/>
        <v>Expiry before Received</v>
      </c>
      <c r="R194" s="3">
        <f t="shared" si="9"/>
        <v>679</v>
      </c>
      <c r="S194">
        <f t="shared" ref="S194:S257" si="12">MAX(0,G194-F194)</f>
        <v>0</v>
      </c>
      <c r="T194" t="str">
        <f t="shared" si="10"/>
        <v>Sufficient Stock</v>
      </c>
    </row>
    <row r="195" spans="1:20" x14ac:dyDescent="0.3">
      <c r="A195" t="s">
        <v>856</v>
      </c>
      <c r="B195" t="s">
        <v>445</v>
      </c>
      <c r="C195" t="s">
        <v>89</v>
      </c>
      <c r="D195" t="s">
        <v>857</v>
      </c>
      <c r="E195" t="s">
        <v>858</v>
      </c>
      <c r="F195">
        <v>11</v>
      </c>
      <c r="G195">
        <v>6</v>
      </c>
      <c r="H195">
        <v>100</v>
      </c>
      <c r="I195" s="1">
        <v>5</v>
      </c>
      <c r="J195" s="2">
        <v>45356</v>
      </c>
      <c r="K195" s="2">
        <v>45551</v>
      </c>
      <c r="L195" s="2">
        <v>45347</v>
      </c>
      <c r="M195" t="s">
        <v>859</v>
      </c>
      <c r="N195">
        <v>88</v>
      </c>
      <c r="O195">
        <v>24</v>
      </c>
      <c r="P195" t="s">
        <v>26</v>
      </c>
      <c r="Q195" t="str">
        <f t="shared" si="11"/>
        <v>Expiry before Received</v>
      </c>
      <c r="R195" s="3">
        <f t="shared" ref="R195:R258" si="13">F195*I195</f>
        <v>55</v>
      </c>
      <c r="S195">
        <f t="shared" si="12"/>
        <v>0</v>
      </c>
      <c r="T195" t="str">
        <f t="shared" ref="T195:T258" si="14">IF(F195&lt;G195,"Reorder Required","Sufficient Stock")</f>
        <v>Sufficient Stock</v>
      </c>
    </row>
    <row r="196" spans="1:20" x14ac:dyDescent="0.3">
      <c r="A196" t="s">
        <v>860</v>
      </c>
      <c r="B196" t="s">
        <v>545</v>
      </c>
      <c r="C196" t="s">
        <v>47</v>
      </c>
      <c r="D196" t="s">
        <v>861</v>
      </c>
      <c r="E196" t="s">
        <v>188</v>
      </c>
      <c r="F196">
        <v>14</v>
      </c>
      <c r="G196">
        <v>66</v>
      </c>
      <c r="H196">
        <v>1</v>
      </c>
      <c r="I196" s="1">
        <v>6</v>
      </c>
      <c r="J196" s="2">
        <v>45517</v>
      </c>
      <c r="K196" s="2">
        <v>45639</v>
      </c>
      <c r="L196" s="2">
        <v>45349</v>
      </c>
      <c r="M196" t="s">
        <v>862</v>
      </c>
      <c r="N196">
        <v>86</v>
      </c>
      <c r="O196">
        <v>15</v>
      </c>
      <c r="P196" t="s">
        <v>38</v>
      </c>
      <c r="Q196" t="str">
        <f t="shared" si="11"/>
        <v>Expiry before Received</v>
      </c>
      <c r="R196" s="3">
        <f t="shared" si="13"/>
        <v>84</v>
      </c>
      <c r="S196">
        <f t="shared" si="12"/>
        <v>52</v>
      </c>
      <c r="T196" t="str">
        <f t="shared" si="14"/>
        <v>Reorder Required</v>
      </c>
    </row>
    <row r="197" spans="1:20" x14ac:dyDescent="0.3">
      <c r="A197" t="s">
        <v>863</v>
      </c>
      <c r="B197" t="s">
        <v>864</v>
      </c>
      <c r="C197" t="s">
        <v>58</v>
      </c>
      <c r="D197" t="s">
        <v>865</v>
      </c>
      <c r="E197" t="s">
        <v>693</v>
      </c>
      <c r="F197">
        <v>88</v>
      </c>
      <c r="G197">
        <v>100</v>
      </c>
      <c r="H197">
        <v>17</v>
      </c>
      <c r="I197" s="1">
        <v>2.5</v>
      </c>
      <c r="J197" s="2">
        <v>45637</v>
      </c>
      <c r="K197" s="2">
        <v>45593</v>
      </c>
      <c r="L197" s="2">
        <v>45635</v>
      </c>
      <c r="M197" t="s">
        <v>866</v>
      </c>
      <c r="N197">
        <v>25</v>
      </c>
      <c r="O197">
        <v>28</v>
      </c>
      <c r="P197" t="s">
        <v>26</v>
      </c>
      <c r="Q197" t="str">
        <f t="shared" si="11"/>
        <v>Expiry before Received</v>
      </c>
      <c r="R197" s="3">
        <f t="shared" si="13"/>
        <v>220</v>
      </c>
      <c r="S197">
        <f t="shared" si="12"/>
        <v>12</v>
      </c>
      <c r="T197" t="str">
        <f t="shared" si="14"/>
        <v>Reorder Required</v>
      </c>
    </row>
    <row r="198" spans="1:20" x14ac:dyDescent="0.3">
      <c r="A198" t="s">
        <v>867</v>
      </c>
      <c r="B198" t="s">
        <v>467</v>
      </c>
      <c r="C198" t="s">
        <v>22</v>
      </c>
      <c r="D198" t="s">
        <v>868</v>
      </c>
      <c r="E198" t="s">
        <v>134</v>
      </c>
      <c r="F198">
        <v>24</v>
      </c>
      <c r="G198">
        <v>15</v>
      </c>
      <c r="H198">
        <v>6</v>
      </c>
      <c r="I198" s="1">
        <v>4.75</v>
      </c>
      <c r="J198" s="2">
        <v>45710</v>
      </c>
      <c r="K198" s="2">
        <v>45459</v>
      </c>
      <c r="L198" s="2">
        <v>45419</v>
      </c>
      <c r="M198" t="s">
        <v>869</v>
      </c>
      <c r="N198">
        <v>35</v>
      </c>
      <c r="O198">
        <v>4</v>
      </c>
      <c r="P198" t="s">
        <v>26</v>
      </c>
      <c r="Q198" t="str">
        <f t="shared" si="11"/>
        <v>Expiry before Received</v>
      </c>
      <c r="R198" s="3">
        <f t="shared" si="13"/>
        <v>114</v>
      </c>
      <c r="S198">
        <f t="shared" si="12"/>
        <v>0</v>
      </c>
      <c r="T198" t="str">
        <f t="shared" si="14"/>
        <v>Sufficient Stock</v>
      </c>
    </row>
    <row r="199" spans="1:20" x14ac:dyDescent="0.3">
      <c r="A199" t="s">
        <v>870</v>
      </c>
      <c r="B199" t="s">
        <v>196</v>
      </c>
      <c r="C199" t="s">
        <v>132</v>
      </c>
      <c r="D199" t="s">
        <v>871</v>
      </c>
      <c r="E199" t="s">
        <v>872</v>
      </c>
      <c r="F199">
        <v>93</v>
      </c>
      <c r="G199">
        <v>62</v>
      </c>
      <c r="H199">
        <v>65</v>
      </c>
      <c r="I199" s="1">
        <v>9</v>
      </c>
      <c r="J199" s="2">
        <v>45452</v>
      </c>
      <c r="K199" s="2">
        <v>45465</v>
      </c>
      <c r="L199" s="2">
        <v>45399</v>
      </c>
      <c r="M199" t="s">
        <v>873</v>
      </c>
      <c r="N199">
        <v>78</v>
      </c>
      <c r="O199">
        <v>87</v>
      </c>
      <c r="P199" t="s">
        <v>44</v>
      </c>
      <c r="Q199" t="str">
        <f t="shared" ref="Q199:Q262" si="15">IF(L199&lt;J199,"Expiry before Received",IF(K199&lt;J199,"Last Order before Received","OK"))</f>
        <v>Expiry before Received</v>
      </c>
      <c r="R199" s="3">
        <f t="shared" si="13"/>
        <v>837</v>
      </c>
      <c r="S199">
        <f t="shared" si="12"/>
        <v>0</v>
      </c>
      <c r="T199" t="str">
        <f t="shared" si="14"/>
        <v>Sufficient Stock</v>
      </c>
    </row>
    <row r="200" spans="1:20" x14ac:dyDescent="0.3">
      <c r="A200" t="s">
        <v>874</v>
      </c>
      <c r="B200" t="s">
        <v>34</v>
      </c>
      <c r="C200" t="s">
        <v>22</v>
      </c>
      <c r="D200" t="s">
        <v>875</v>
      </c>
      <c r="E200" t="s">
        <v>115</v>
      </c>
      <c r="F200">
        <v>68</v>
      </c>
      <c r="G200">
        <v>68</v>
      </c>
      <c r="H200">
        <v>97</v>
      </c>
      <c r="I200" s="1">
        <v>6</v>
      </c>
      <c r="J200" s="2">
        <v>45481</v>
      </c>
      <c r="K200" s="2">
        <v>45488</v>
      </c>
      <c r="L200" s="2">
        <v>45466</v>
      </c>
      <c r="M200" t="s">
        <v>876</v>
      </c>
      <c r="N200">
        <v>37</v>
      </c>
      <c r="O200">
        <v>31</v>
      </c>
      <c r="P200" t="s">
        <v>26</v>
      </c>
      <c r="Q200" t="str">
        <f t="shared" si="15"/>
        <v>Expiry before Received</v>
      </c>
      <c r="R200" s="3">
        <f t="shared" si="13"/>
        <v>408</v>
      </c>
      <c r="S200">
        <f t="shared" si="12"/>
        <v>0</v>
      </c>
      <c r="T200" t="str">
        <f t="shared" si="14"/>
        <v>Sufficient Stock</v>
      </c>
    </row>
    <row r="201" spans="1:20" x14ac:dyDescent="0.3">
      <c r="A201" t="s">
        <v>877</v>
      </c>
      <c r="B201" t="s">
        <v>88</v>
      </c>
      <c r="C201" t="s">
        <v>89</v>
      </c>
      <c r="D201" t="s">
        <v>878</v>
      </c>
      <c r="E201" t="s">
        <v>797</v>
      </c>
      <c r="F201">
        <v>28</v>
      </c>
      <c r="G201">
        <v>94</v>
      </c>
      <c r="H201">
        <v>80</v>
      </c>
      <c r="I201" s="1">
        <v>2.8</v>
      </c>
      <c r="J201" s="2">
        <v>45435</v>
      </c>
      <c r="K201" s="2">
        <v>45680</v>
      </c>
      <c r="L201" s="2">
        <v>45462</v>
      </c>
      <c r="M201" t="s">
        <v>879</v>
      </c>
      <c r="N201">
        <v>31</v>
      </c>
      <c r="O201">
        <v>1</v>
      </c>
      <c r="P201" t="s">
        <v>38</v>
      </c>
      <c r="Q201" t="str">
        <f t="shared" si="15"/>
        <v>OK</v>
      </c>
      <c r="R201" s="3">
        <f t="shared" si="13"/>
        <v>78.399999999999991</v>
      </c>
      <c r="S201">
        <f t="shared" si="12"/>
        <v>66</v>
      </c>
      <c r="T201" t="str">
        <f t="shared" si="14"/>
        <v>Reorder Required</v>
      </c>
    </row>
    <row r="202" spans="1:20" x14ac:dyDescent="0.3">
      <c r="A202" t="s">
        <v>880</v>
      </c>
      <c r="B202" t="s">
        <v>881</v>
      </c>
      <c r="C202" t="s">
        <v>47</v>
      </c>
      <c r="D202" t="s">
        <v>882</v>
      </c>
      <c r="E202" t="s">
        <v>36</v>
      </c>
      <c r="F202">
        <v>21</v>
      </c>
      <c r="G202">
        <v>30</v>
      </c>
      <c r="H202">
        <v>32</v>
      </c>
      <c r="I202" s="1">
        <v>2</v>
      </c>
      <c r="J202" s="2">
        <v>45679</v>
      </c>
      <c r="K202" s="2">
        <v>45695</v>
      </c>
      <c r="L202" s="2">
        <v>45361</v>
      </c>
      <c r="M202" t="s">
        <v>883</v>
      </c>
      <c r="N202">
        <v>43</v>
      </c>
      <c r="O202">
        <v>54</v>
      </c>
      <c r="P202" t="s">
        <v>38</v>
      </c>
      <c r="Q202" t="str">
        <f t="shared" si="15"/>
        <v>Expiry before Received</v>
      </c>
      <c r="R202" s="3">
        <f t="shared" si="13"/>
        <v>42</v>
      </c>
      <c r="S202">
        <f t="shared" si="12"/>
        <v>9</v>
      </c>
      <c r="T202" t="str">
        <f t="shared" si="14"/>
        <v>Reorder Required</v>
      </c>
    </row>
    <row r="203" spans="1:20" x14ac:dyDescent="0.3">
      <c r="A203" t="s">
        <v>884</v>
      </c>
      <c r="B203" t="s">
        <v>545</v>
      </c>
      <c r="C203" t="s">
        <v>47</v>
      </c>
      <c r="D203" t="s">
        <v>885</v>
      </c>
      <c r="E203" t="s">
        <v>452</v>
      </c>
      <c r="F203">
        <v>92</v>
      </c>
      <c r="G203">
        <v>96</v>
      </c>
      <c r="H203">
        <v>56</v>
      </c>
      <c r="I203" s="1">
        <v>6</v>
      </c>
      <c r="J203" s="2">
        <v>45614</v>
      </c>
      <c r="K203" s="2">
        <v>45468</v>
      </c>
      <c r="L203" s="2">
        <v>45493</v>
      </c>
      <c r="M203" t="s">
        <v>886</v>
      </c>
      <c r="N203">
        <v>32</v>
      </c>
      <c r="O203">
        <v>22</v>
      </c>
      <c r="P203" t="s">
        <v>26</v>
      </c>
      <c r="Q203" t="str">
        <f t="shared" si="15"/>
        <v>Expiry before Received</v>
      </c>
      <c r="R203" s="3">
        <f t="shared" si="13"/>
        <v>552</v>
      </c>
      <c r="S203">
        <f t="shared" si="12"/>
        <v>4</v>
      </c>
      <c r="T203" t="str">
        <f t="shared" si="14"/>
        <v>Reorder Required</v>
      </c>
    </row>
    <row r="204" spans="1:20" x14ac:dyDescent="0.3">
      <c r="A204" t="s">
        <v>887</v>
      </c>
      <c r="B204" t="s">
        <v>775</v>
      </c>
      <c r="C204" t="s">
        <v>29</v>
      </c>
      <c r="D204" t="s">
        <v>888</v>
      </c>
      <c r="E204" t="s">
        <v>889</v>
      </c>
      <c r="F204">
        <v>68</v>
      </c>
      <c r="G204">
        <v>12</v>
      </c>
      <c r="H204">
        <v>42</v>
      </c>
      <c r="I204" s="1">
        <v>10</v>
      </c>
      <c r="J204" s="2">
        <v>45631</v>
      </c>
      <c r="K204" s="2">
        <v>45709</v>
      </c>
      <c r="L204" s="2">
        <v>45648</v>
      </c>
      <c r="M204" t="s">
        <v>890</v>
      </c>
      <c r="N204">
        <v>39</v>
      </c>
      <c r="O204">
        <v>6</v>
      </c>
      <c r="P204" t="s">
        <v>38</v>
      </c>
      <c r="Q204" t="str">
        <f t="shared" si="15"/>
        <v>OK</v>
      </c>
      <c r="R204" s="3">
        <f t="shared" si="13"/>
        <v>680</v>
      </c>
      <c r="S204">
        <f t="shared" si="12"/>
        <v>0</v>
      </c>
      <c r="T204" t="str">
        <f t="shared" si="14"/>
        <v>Sufficient Stock</v>
      </c>
    </row>
    <row r="205" spans="1:20" x14ac:dyDescent="0.3">
      <c r="A205" t="s">
        <v>891</v>
      </c>
      <c r="B205" t="s">
        <v>243</v>
      </c>
      <c r="C205" t="s">
        <v>89</v>
      </c>
      <c r="D205" t="s">
        <v>892</v>
      </c>
      <c r="E205" t="s">
        <v>893</v>
      </c>
      <c r="F205">
        <v>46</v>
      </c>
      <c r="G205">
        <v>43</v>
      </c>
      <c r="H205">
        <v>46</v>
      </c>
      <c r="I205" s="1">
        <v>3.5</v>
      </c>
      <c r="J205" s="2">
        <v>45667</v>
      </c>
      <c r="K205" s="2">
        <v>45570</v>
      </c>
      <c r="L205" s="2">
        <v>45552</v>
      </c>
      <c r="M205" t="s">
        <v>894</v>
      </c>
      <c r="N205">
        <v>68</v>
      </c>
      <c r="O205">
        <v>59</v>
      </c>
      <c r="P205" t="s">
        <v>38</v>
      </c>
      <c r="Q205" t="str">
        <f t="shared" si="15"/>
        <v>Expiry before Received</v>
      </c>
      <c r="R205" s="3">
        <f t="shared" si="13"/>
        <v>161</v>
      </c>
      <c r="S205">
        <f t="shared" si="12"/>
        <v>0</v>
      </c>
      <c r="T205" t="str">
        <f t="shared" si="14"/>
        <v>Sufficient Stock</v>
      </c>
    </row>
    <row r="206" spans="1:20" x14ac:dyDescent="0.3">
      <c r="A206" t="s">
        <v>895</v>
      </c>
      <c r="B206" t="s">
        <v>176</v>
      </c>
      <c r="C206" t="s">
        <v>47</v>
      </c>
      <c r="D206" t="s">
        <v>896</v>
      </c>
      <c r="E206" t="s">
        <v>897</v>
      </c>
      <c r="F206">
        <v>47</v>
      </c>
      <c r="G206">
        <v>20</v>
      </c>
      <c r="H206">
        <v>65</v>
      </c>
      <c r="I206" s="1">
        <v>1.75</v>
      </c>
      <c r="J206" s="2">
        <v>45676</v>
      </c>
      <c r="K206" s="2">
        <v>45669</v>
      </c>
      <c r="L206" s="2">
        <v>45382</v>
      </c>
      <c r="M206" t="s">
        <v>898</v>
      </c>
      <c r="N206">
        <v>49</v>
      </c>
      <c r="O206">
        <v>19</v>
      </c>
      <c r="P206" t="s">
        <v>38</v>
      </c>
      <c r="Q206" t="str">
        <f t="shared" si="15"/>
        <v>Expiry before Received</v>
      </c>
      <c r="R206" s="3">
        <f t="shared" si="13"/>
        <v>82.25</v>
      </c>
      <c r="S206">
        <f t="shared" si="12"/>
        <v>0</v>
      </c>
      <c r="T206" t="str">
        <f t="shared" si="14"/>
        <v>Sufficient Stock</v>
      </c>
    </row>
    <row r="207" spans="1:20" x14ac:dyDescent="0.3">
      <c r="A207" t="s">
        <v>899</v>
      </c>
      <c r="B207" t="s">
        <v>186</v>
      </c>
      <c r="C207" t="s">
        <v>58</v>
      </c>
      <c r="D207" t="s">
        <v>900</v>
      </c>
      <c r="E207" t="s">
        <v>231</v>
      </c>
      <c r="F207">
        <v>52</v>
      </c>
      <c r="G207">
        <v>88</v>
      </c>
      <c r="H207">
        <v>55</v>
      </c>
      <c r="I207" s="1">
        <v>6</v>
      </c>
      <c r="J207" s="2">
        <v>45439</v>
      </c>
      <c r="K207" s="2">
        <v>45417</v>
      </c>
      <c r="L207" s="2">
        <v>45609</v>
      </c>
      <c r="M207" t="s">
        <v>901</v>
      </c>
      <c r="N207">
        <v>100</v>
      </c>
      <c r="O207">
        <v>46</v>
      </c>
      <c r="P207" t="s">
        <v>26</v>
      </c>
      <c r="Q207" t="str">
        <f t="shared" si="15"/>
        <v>Last Order before Received</v>
      </c>
      <c r="R207" s="3">
        <f t="shared" si="13"/>
        <v>312</v>
      </c>
      <c r="S207">
        <f t="shared" si="12"/>
        <v>36</v>
      </c>
      <c r="T207" t="str">
        <f t="shared" si="14"/>
        <v>Reorder Required</v>
      </c>
    </row>
    <row r="208" spans="1:20" x14ac:dyDescent="0.3">
      <c r="A208" t="s">
        <v>902</v>
      </c>
      <c r="B208" t="s">
        <v>162</v>
      </c>
      <c r="C208" t="s">
        <v>47</v>
      </c>
      <c r="D208" t="s">
        <v>903</v>
      </c>
      <c r="E208" t="s">
        <v>105</v>
      </c>
      <c r="F208">
        <v>51</v>
      </c>
      <c r="G208">
        <v>62</v>
      </c>
      <c r="H208">
        <v>95</v>
      </c>
      <c r="I208" s="1">
        <v>6</v>
      </c>
      <c r="J208" s="2">
        <v>45389</v>
      </c>
      <c r="K208" s="2">
        <v>45379</v>
      </c>
      <c r="L208" s="2">
        <v>45672</v>
      </c>
      <c r="M208" t="s">
        <v>904</v>
      </c>
      <c r="N208">
        <v>52</v>
      </c>
      <c r="O208">
        <v>21</v>
      </c>
      <c r="P208" t="s">
        <v>44</v>
      </c>
      <c r="Q208" t="str">
        <f t="shared" si="15"/>
        <v>Last Order before Received</v>
      </c>
      <c r="R208" s="3">
        <f t="shared" si="13"/>
        <v>306</v>
      </c>
      <c r="S208">
        <f t="shared" si="12"/>
        <v>11</v>
      </c>
      <c r="T208" t="str">
        <f t="shared" si="14"/>
        <v>Reorder Required</v>
      </c>
    </row>
    <row r="209" spans="1:20" x14ac:dyDescent="0.3">
      <c r="A209" t="s">
        <v>905</v>
      </c>
      <c r="B209" t="s">
        <v>63</v>
      </c>
      <c r="C209" t="s">
        <v>64</v>
      </c>
      <c r="D209" t="s">
        <v>906</v>
      </c>
      <c r="E209" t="s">
        <v>907</v>
      </c>
      <c r="F209">
        <v>14</v>
      </c>
      <c r="G209">
        <v>63</v>
      </c>
      <c r="H209">
        <v>74</v>
      </c>
      <c r="I209" s="1">
        <v>2.5</v>
      </c>
      <c r="J209" s="2">
        <v>45410</v>
      </c>
      <c r="K209" s="2">
        <v>45707</v>
      </c>
      <c r="L209" s="2">
        <v>45624</v>
      </c>
      <c r="M209" t="s">
        <v>908</v>
      </c>
      <c r="N209">
        <v>59</v>
      </c>
      <c r="O209">
        <v>63</v>
      </c>
      <c r="P209" t="s">
        <v>38</v>
      </c>
      <c r="Q209" t="str">
        <f t="shared" si="15"/>
        <v>OK</v>
      </c>
      <c r="R209" s="3">
        <f t="shared" si="13"/>
        <v>35</v>
      </c>
      <c r="S209">
        <f t="shared" si="12"/>
        <v>49</v>
      </c>
      <c r="T209" t="str">
        <f t="shared" si="14"/>
        <v>Reorder Required</v>
      </c>
    </row>
    <row r="210" spans="1:20" x14ac:dyDescent="0.3">
      <c r="A210" t="s">
        <v>909</v>
      </c>
      <c r="B210" t="s">
        <v>69</v>
      </c>
      <c r="C210" t="s">
        <v>47</v>
      </c>
      <c r="D210" t="s">
        <v>910</v>
      </c>
      <c r="E210" t="s">
        <v>689</v>
      </c>
      <c r="F210">
        <v>62</v>
      </c>
      <c r="G210">
        <v>44</v>
      </c>
      <c r="H210">
        <v>11</v>
      </c>
      <c r="I210" s="1">
        <v>51.17</v>
      </c>
      <c r="J210" s="2">
        <v>45665</v>
      </c>
      <c r="K210" s="2">
        <v>45398</v>
      </c>
      <c r="L210" s="2">
        <v>45486</v>
      </c>
      <c r="M210" t="s">
        <v>911</v>
      </c>
      <c r="N210">
        <v>92</v>
      </c>
      <c r="O210">
        <v>37</v>
      </c>
      <c r="P210" t="s">
        <v>26</v>
      </c>
      <c r="Q210" t="str">
        <f t="shared" si="15"/>
        <v>Expiry before Received</v>
      </c>
      <c r="R210" s="3">
        <f t="shared" si="13"/>
        <v>3172.54</v>
      </c>
      <c r="S210">
        <f t="shared" si="12"/>
        <v>0</v>
      </c>
      <c r="T210" t="str">
        <f t="shared" si="14"/>
        <v>Sufficient Stock</v>
      </c>
    </row>
    <row r="211" spans="1:20" x14ac:dyDescent="0.3">
      <c r="A211" t="s">
        <v>912</v>
      </c>
      <c r="B211" t="s">
        <v>554</v>
      </c>
      <c r="C211" t="s">
        <v>47</v>
      </c>
      <c r="D211" t="s">
        <v>913</v>
      </c>
      <c r="E211" t="s">
        <v>914</v>
      </c>
      <c r="F211">
        <v>40</v>
      </c>
      <c r="G211">
        <v>53</v>
      </c>
      <c r="H211">
        <v>7</v>
      </c>
      <c r="I211" s="1">
        <v>4</v>
      </c>
      <c r="J211" s="2">
        <v>45709</v>
      </c>
      <c r="K211" s="2">
        <v>45357</v>
      </c>
      <c r="L211" s="2">
        <v>45464</v>
      </c>
      <c r="M211" t="s">
        <v>915</v>
      </c>
      <c r="N211">
        <v>70</v>
      </c>
      <c r="O211">
        <v>20</v>
      </c>
      <c r="P211" t="s">
        <v>38</v>
      </c>
      <c r="Q211" t="str">
        <f t="shared" si="15"/>
        <v>Expiry before Received</v>
      </c>
      <c r="R211" s="3">
        <f t="shared" si="13"/>
        <v>160</v>
      </c>
      <c r="S211">
        <f t="shared" si="12"/>
        <v>13</v>
      </c>
      <c r="T211" t="str">
        <f t="shared" si="14"/>
        <v>Reorder Required</v>
      </c>
    </row>
    <row r="212" spans="1:20" x14ac:dyDescent="0.3">
      <c r="A212" t="s">
        <v>916</v>
      </c>
      <c r="B212" t="s">
        <v>336</v>
      </c>
      <c r="C212" t="s">
        <v>29</v>
      </c>
      <c r="D212" t="s">
        <v>917</v>
      </c>
      <c r="E212" t="s">
        <v>498</v>
      </c>
      <c r="F212">
        <v>50</v>
      </c>
      <c r="G212">
        <v>100</v>
      </c>
      <c r="H212">
        <v>91</v>
      </c>
      <c r="I212" s="1">
        <v>25.5</v>
      </c>
      <c r="J212" s="2">
        <v>45654</v>
      </c>
      <c r="K212" s="2">
        <v>45490</v>
      </c>
      <c r="L212" s="2">
        <v>45631</v>
      </c>
      <c r="M212" t="s">
        <v>918</v>
      </c>
      <c r="N212">
        <v>29</v>
      </c>
      <c r="O212">
        <v>31</v>
      </c>
      <c r="P212" t="s">
        <v>44</v>
      </c>
      <c r="Q212" t="str">
        <f t="shared" si="15"/>
        <v>Expiry before Received</v>
      </c>
      <c r="R212" s="3">
        <f t="shared" si="13"/>
        <v>1275</v>
      </c>
      <c r="S212">
        <f t="shared" si="12"/>
        <v>50</v>
      </c>
      <c r="T212" t="str">
        <f t="shared" si="14"/>
        <v>Reorder Required</v>
      </c>
    </row>
    <row r="213" spans="1:20" x14ac:dyDescent="0.3">
      <c r="A213" t="s">
        <v>919</v>
      </c>
      <c r="B213" t="s">
        <v>21</v>
      </c>
      <c r="C213" t="s">
        <v>22</v>
      </c>
      <c r="D213" t="s">
        <v>920</v>
      </c>
      <c r="E213" t="s">
        <v>271</v>
      </c>
      <c r="F213">
        <v>77</v>
      </c>
      <c r="G213">
        <v>20</v>
      </c>
      <c r="H213">
        <v>37</v>
      </c>
      <c r="I213" s="1">
        <v>4.25</v>
      </c>
      <c r="J213" s="2">
        <v>45476</v>
      </c>
      <c r="K213" s="2">
        <v>45357</v>
      </c>
      <c r="L213" s="2">
        <v>45601</v>
      </c>
      <c r="M213" t="s">
        <v>921</v>
      </c>
      <c r="N213">
        <v>42</v>
      </c>
      <c r="O213">
        <v>19</v>
      </c>
      <c r="P213" t="s">
        <v>38</v>
      </c>
      <c r="Q213" t="str">
        <f t="shared" si="15"/>
        <v>Last Order before Received</v>
      </c>
      <c r="R213" s="3">
        <f t="shared" si="13"/>
        <v>327.25</v>
      </c>
      <c r="S213">
        <f t="shared" si="12"/>
        <v>0</v>
      </c>
      <c r="T213" t="str">
        <f t="shared" si="14"/>
        <v>Sufficient Stock</v>
      </c>
    </row>
    <row r="214" spans="1:20" x14ac:dyDescent="0.3">
      <c r="A214" t="s">
        <v>922</v>
      </c>
      <c r="B214" t="s">
        <v>98</v>
      </c>
      <c r="C214" t="s">
        <v>47</v>
      </c>
      <c r="D214" t="s">
        <v>923</v>
      </c>
      <c r="E214" t="s">
        <v>924</v>
      </c>
      <c r="F214">
        <v>31</v>
      </c>
      <c r="G214">
        <v>89</v>
      </c>
      <c r="H214">
        <v>7</v>
      </c>
      <c r="I214" s="1">
        <v>5.9</v>
      </c>
      <c r="J214" s="2">
        <v>45530</v>
      </c>
      <c r="K214" s="2">
        <v>45633</v>
      </c>
      <c r="L214" s="2">
        <v>45433</v>
      </c>
      <c r="M214" t="s">
        <v>925</v>
      </c>
      <c r="N214">
        <v>46</v>
      </c>
      <c r="O214">
        <v>54</v>
      </c>
      <c r="P214" t="s">
        <v>26</v>
      </c>
      <c r="Q214" t="str">
        <f t="shared" si="15"/>
        <v>Expiry before Received</v>
      </c>
      <c r="R214" s="3">
        <f t="shared" si="13"/>
        <v>182.9</v>
      </c>
      <c r="S214">
        <f t="shared" si="12"/>
        <v>58</v>
      </c>
      <c r="T214" t="str">
        <f t="shared" si="14"/>
        <v>Reorder Required</v>
      </c>
    </row>
    <row r="215" spans="1:20" x14ac:dyDescent="0.3">
      <c r="A215" t="s">
        <v>926</v>
      </c>
      <c r="B215" t="s">
        <v>162</v>
      </c>
      <c r="C215" t="s">
        <v>47</v>
      </c>
      <c r="D215" t="s">
        <v>927</v>
      </c>
      <c r="E215" t="s">
        <v>928</v>
      </c>
      <c r="F215">
        <v>35</v>
      </c>
      <c r="G215">
        <v>19</v>
      </c>
      <c r="H215">
        <v>30</v>
      </c>
      <c r="I215" s="1">
        <v>6.5</v>
      </c>
      <c r="J215" s="2">
        <v>45663</v>
      </c>
      <c r="K215" s="2">
        <v>45626</v>
      </c>
      <c r="L215" s="2">
        <v>45605</v>
      </c>
      <c r="M215" t="s">
        <v>929</v>
      </c>
      <c r="N215">
        <v>88</v>
      </c>
      <c r="O215">
        <v>6</v>
      </c>
      <c r="P215" t="s">
        <v>38</v>
      </c>
      <c r="Q215" t="str">
        <f t="shared" si="15"/>
        <v>Expiry before Received</v>
      </c>
      <c r="R215" s="3">
        <f t="shared" si="13"/>
        <v>227.5</v>
      </c>
      <c r="S215">
        <f t="shared" si="12"/>
        <v>0</v>
      </c>
      <c r="T215" t="str">
        <f t="shared" si="14"/>
        <v>Sufficient Stock</v>
      </c>
    </row>
    <row r="216" spans="1:20" x14ac:dyDescent="0.3">
      <c r="A216" t="s">
        <v>930</v>
      </c>
      <c r="B216" t="s">
        <v>349</v>
      </c>
      <c r="C216" t="s">
        <v>47</v>
      </c>
      <c r="D216" t="s">
        <v>931</v>
      </c>
      <c r="E216" t="s">
        <v>932</v>
      </c>
      <c r="F216">
        <v>31</v>
      </c>
      <c r="G216">
        <v>54</v>
      </c>
      <c r="H216">
        <v>52</v>
      </c>
      <c r="I216" s="1">
        <v>4</v>
      </c>
      <c r="J216" s="2">
        <v>45708</v>
      </c>
      <c r="K216" s="2">
        <v>45634</v>
      </c>
      <c r="L216" s="2">
        <v>45639</v>
      </c>
      <c r="M216" t="s">
        <v>933</v>
      </c>
      <c r="N216">
        <v>69</v>
      </c>
      <c r="O216">
        <v>77</v>
      </c>
      <c r="P216" t="s">
        <v>44</v>
      </c>
      <c r="Q216" t="str">
        <f t="shared" si="15"/>
        <v>Expiry before Received</v>
      </c>
      <c r="R216" s="3">
        <f t="shared" si="13"/>
        <v>124</v>
      </c>
      <c r="S216">
        <f t="shared" si="12"/>
        <v>23</v>
      </c>
      <c r="T216" t="str">
        <f t="shared" si="14"/>
        <v>Reorder Required</v>
      </c>
    </row>
    <row r="217" spans="1:20" x14ac:dyDescent="0.3">
      <c r="A217" t="s">
        <v>934</v>
      </c>
      <c r="B217" t="s">
        <v>282</v>
      </c>
      <c r="C217" t="s">
        <v>89</v>
      </c>
      <c r="D217" t="s">
        <v>935</v>
      </c>
      <c r="E217" t="s">
        <v>399</v>
      </c>
      <c r="F217">
        <v>56</v>
      </c>
      <c r="G217">
        <v>62</v>
      </c>
      <c r="H217">
        <v>64</v>
      </c>
      <c r="I217" s="1">
        <v>2.5</v>
      </c>
      <c r="J217" s="2">
        <v>45526</v>
      </c>
      <c r="K217" s="2">
        <v>45538</v>
      </c>
      <c r="L217" s="2">
        <v>45677</v>
      </c>
      <c r="M217" t="s">
        <v>936</v>
      </c>
      <c r="N217">
        <v>56</v>
      </c>
      <c r="O217">
        <v>73</v>
      </c>
      <c r="P217" t="s">
        <v>38</v>
      </c>
      <c r="Q217" t="str">
        <f t="shared" si="15"/>
        <v>OK</v>
      </c>
      <c r="R217" s="3">
        <f t="shared" si="13"/>
        <v>140</v>
      </c>
      <c r="S217">
        <f t="shared" si="12"/>
        <v>6</v>
      </c>
      <c r="T217" t="str">
        <f t="shared" si="14"/>
        <v>Reorder Required</v>
      </c>
    </row>
    <row r="218" spans="1:20" x14ac:dyDescent="0.3">
      <c r="A218" t="s">
        <v>937</v>
      </c>
      <c r="B218" t="s">
        <v>69</v>
      </c>
      <c r="C218" t="s">
        <v>64</v>
      </c>
      <c r="D218" t="s">
        <v>938</v>
      </c>
      <c r="E218" t="s">
        <v>939</v>
      </c>
      <c r="F218">
        <v>90</v>
      </c>
      <c r="G218">
        <v>62</v>
      </c>
      <c r="H218">
        <v>54</v>
      </c>
      <c r="I218" s="1">
        <v>3</v>
      </c>
      <c r="J218" s="2">
        <v>45677</v>
      </c>
      <c r="K218" s="2">
        <v>45542</v>
      </c>
      <c r="L218" s="2">
        <v>45641</v>
      </c>
      <c r="M218" t="s">
        <v>940</v>
      </c>
      <c r="N218">
        <v>70</v>
      </c>
      <c r="O218">
        <v>83</v>
      </c>
      <c r="P218" t="s">
        <v>26</v>
      </c>
      <c r="Q218" t="str">
        <f t="shared" si="15"/>
        <v>Expiry before Received</v>
      </c>
      <c r="R218" s="3">
        <f t="shared" si="13"/>
        <v>270</v>
      </c>
      <c r="S218">
        <f t="shared" si="12"/>
        <v>0</v>
      </c>
      <c r="T218" t="str">
        <f t="shared" si="14"/>
        <v>Sufficient Stock</v>
      </c>
    </row>
    <row r="219" spans="1:20" x14ac:dyDescent="0.3">
      <c r="A219" t="s">
        <v>941</v>
      </c>
      <c r="B219" t="s">
        <v>599</v>
      </c>
      <c r="C219" t="s">
        <v>58</v>
      </c>
      <c r="D219" t="s">
        <v>942</v>
      </c>
      <c r="E219" t="s">
        <v>943</v>
      </c>
      <c r="F219">
        <v>79</v>
      </c>
      <c r="G219">
        <v>31</v>
      </c>
      <c r="H219">
        <v>66</v>
      </c>
      <c r="I219" s="1">
        <v>2.2999999999999998</v>
      </c>
      <c r="J219" s="2">
        <v>45392</v>
      </c>
      <c r="K219" s="2">
        <v>45578</v>
      </c>
      <c r="L219" s="2">
        <v>45524</v>
      </c>
      <c r="M219" t="s">
        <v>944</v>
      </c>
      <c r="N219">
        <v>92</v>
      </c>
      <c r="O219">
        <v>13</v>
      </c>
      <c r="P219" t="s">
        <v>26</v>
      </c>
      <c r="Q219" t="str">
        <f t="shared" si="15"/>
        <v>OK</v>
      </c>
      <c r="R219" s="3">
        <f t="shared" si="13"/>
        <v>181.7</v>
      </c>
      <c r="S219">
        <f t="shared" si="12"/>
        <v>0</v>
      </c>
      <c r="T219" t="str">
        <f t="shared" si="14"/>
        <v>Sufficient Stock</v>
      </c>
    </row>
    <row r="220" spans="1:20" x14ac:dyDescent="0.3">
      <c r="A220" t="s">
        <v>945</v>
      </c>
      <c r="B220" t="s">
        <v>881</v>
      </c>
      <c r="C220" t="s">
        <v>47</v>
      </c>
      <c r="D220" t="s">
        <v>946</v>
      </c>
      <c r="E220" t="s">
        <v>947</v>
      </c>
      <c r="F220">
        <v>29</v>
      </c>
      <c r="G220">
        <v>83</v>
      </c>
      <c r="H220">
        <v>91</v>
      </c>
      <c r="I220" s="1">
        <v>2</v>
      </c>
      <c r="J220" s="2">
        <v>45625</v>
      </c>
      <c r="K220" s="2">
        <v>45695</v>
      </c>
      <c r="L220" s="2">
        <v>45661</v>
      </c>
      <c r="M220" t="s">
        <v>948</v>
      </c>
      <c r="N220">
        <v>81</v>
      </c>
      <c r="O220">
        <v>53</v>
      </c>
      <c r="P220" t="s">
        <v>38</v>
      </c>
      <c r="Q220" t="str">
        <f t="shared" si="15"/>
        <v>OK</v>
      </c>
      <c r="R220" s="3">
        <f t="shared" si="13"/>
        <v>58</v>
      </c>
      <c r="S220">
        <f t="shared" si="12"/>
        <v>54</v>
      </c>
      <c r="T220" t="str">
        <f t="shared" si="14"/>
        <v>Reorder Required</v>
      </c>
    </row>
    <row r="221" spans="1:20" x14ac:dyDescent="0.3">
      <c r="A221" t="s">
        <v>949</v>
      </c>
      <c r="B221" t="s">
        <v>599</v>
      </c>
      <c r="C221" t="s">
        <v>58</v>
      </c>
      <c r="D221" t="s">
        <v>950</v>
      </c>
      <c r="E221" t="s">
        <v>951</v>
      </c>
      <c r="F221">
        <v>46</v>
      </c>
      <c r="G221">
        <v>51</v>
      </c>
      <c r="H221">
        <v>92</v>
      </c>
      <c r="I221" s="1">
        <v>2.2999999999999998</v>
      </c>
      <c r="J221" s="2">
        <v>45419</v>
      </c>
      <c r="K221" s="2">
        <v>45650</v>
      </c>
      <c r="L221" s="2">
        <v>45452</v>
      </c>
      <c r="M221" t="s">
        <v>952</v>
      </c>
      <c r="N221">
        <v>47</v>
      </c>
      <c r="O221">
        <v>25</v>
      </c>
      <c r="P221" t="s">
        <v>26</v>
      </c>
      <c r="Q221" t="str">
        <f t="shared" si="15"/>
        <v>OK</v>
      </c>
      <c r="R221" s="3">
        <f t="shared" si="13"/>
        <v>105.8</v>
      </c>
      <c r="S221">
        <f t="shared" si="12"/>
        <v>5</v>
      </c>
      <c r="T221" t="str">
        <f t="shared" si="14"/>
        <v>Reorder Required</v>
      </c>
    </row>
    <row r="222" spans="1:20" x14ac:dyDescent="0.3">
      <c r="A222" t="s">
        <v>953</v>
      </c>
      <c r="B222" t="s">
        <v>440</v>
      </c>
      <c r="C222" t="s">
        <v>47</v>
      </c>
      <c r="D222" t="s">
        <v>954</v>
      </c>
      <c r="E222" t="s">
        <v>955</v>
      </c>
      <c r="F222">
        <v>42</v>
      </c>
      <c r="G222">
        <v>4</v>
      </c>
      <c r="H222">
        <v>53</v>
      </c>
      <c r="I222" s="1">
        <v>10</v>
      </c>
      <c r="J222" s="2">
        <v>45667</v>
      </c>
      <c r="K222" s="2">
        <v>45478</v>
      </c>
      <c r="L222" s="2">
        <v>45394</v>
      </c>
      <c r="M222" t="s">
        <v>956</v>
      </c>
      <c r="N222">
        <v>37</v>
      </c>
      <c r="O222">
        <v>53</v>
      </c>
      <c r="P222" t="s">
        <v>44</v>
      </c>
      <c r="Q222" t="str">
        <f t="shared" si="15"/>
        <v>Expiry before Received</v>
      </c>
      <c r="R222" s="3">
        <f t="shared" si="13"/>
        <v>420</v>
      </c>
      <c r="S222">
        <f t="shared" si="12"/>
        <v>0</v>
      </c>
      <c r="T222" t="str">
        <f t="shared" si="14"/>
        <v>Sufficient Stock</v>
      </c>
    </row>
    <row r="223" spans="1:20" x14ac:dyDescent="0.3">
      <c r="A223" t="s">
        <v>957</v>
      </c>
      <c r="B223" t="s">
        <v>344</v>
      </c>
      <c r="C223" t="s">
        <v>64</v>
      </c>
      <c r="D223" t="s">
        <v>958</v>
      </c>
      <c r="E223" t="s">
        <v>753</v>
      </c>
      <c r="F223">
        <v>16</v>
      </c>
      <c r="G223">
        <v>56</v>
      </c>
      <c r="H223">
        <v>13</v>
      </c>
      <c r="I223" s="1">
        <v>7.2</v>
      </c>
      <c r="J223" s="2">
        <v>45698</v>
      </c>
      <c r="K223" s="2">
        <v>45361</v>
      </c>
      <c r="L223" s="2">
        <v>45567</v>
      </c>
      <c r="M223" t="s">
        <v>959</v>
      </c>
      <c r="N223">
        <v>56</v>
      </c>
      <c r="O223">
        <v>28</v>
      </c>
      <c r="P223" t="s">
        <v>26</v>
      </c>
      <c r="Q223" t="str">
        <f t="shared" si="15"/>
        <v>Expiry before Received</v>
      </c>
      <c r="R223" s="3">
        <f t="shared" si="13"/>
        <v>115.2</v>
      </c>
      <c r="S223">
        <f t="shared" si="12"/>
        <v>40</v>
      </c>
      <c r="T223" t="str">
        <f t="shared" si="14"/>
        <v>Reorder Required</v>
      </c>
    </row>
    <row r="224" spans="1:20" x14ac:dyDescent="0.3">
      <c r="A224" t="s">
        <v>960</v>
      </c>
      <c r="B224" t="s">
        <v>624</v>
      </c>
      <c r="C224" t="s">
        <v>132</v>
      </c>
      <c r="D224" t="s">
        <v>961</v>
      </c>
      <c r="E224" t="s">
        <v>962</v>
      </c>
      <c r="F224">
        <v>89</v>
      </c>
      <c r="G224">
        <v>95</v>
      </c>
      <c r="H224">
        <v>41</v>
      </c>
      <c r="I224" s="1">
        <v>18</v>
      </c>
      <c r="J224" s="2">
        <v>45559</v>
      </c>
      <c r="K224" s="2">
        <v>45479</v>
      </c>
      <c r="L224" s="2">
        <v>45580</v>
      </c>
      <c r="M224" t="s">
        <v>963</v>
      </c>
      <c r="N224">
        <v>76</v>
      </c>
      <c r="O224">
        <v>96</v>
      </c>
      <c r="P224" t="s">
        <v>26</v>
      </c>
      <c r="Q224" t="str">
        <f t="shared" si="15"/>
        <v>Last Order before Received</v>
      </c>
      <c r="R224" s="3">
        <f t="shared" si="13"/>
        <v>1602</v>
      </c>
      <c r="S224">
        <f t="shared" si="12"/>
        <v>6</v>
      </c>
      <c r="T224" t="str">
        <f t="shared" si="14"/>
        <v>Reorder Required</v>
      </c>
    </row>
    <row r="225" spans="1:20" x14ac:dyDescent="0.3">
      <c r="A225" t="s">
        <v>964</v>
      </c>
      <c r="B225" t="s">
        <v>336</v>
      </c>
      <c r="C225" t="s">
        <v>29</v>
      </c>
      <c r="D225" t="s">
        <v>965</v>
      </c>
      <c r="E225" t="s">
        <v>144</v>
      </c>
      <c r="F225">
        <v>20</v>
      </c>
      <c r="G225">
        <v>43</v>
      </c>
      <c r="H225">
        <v>43</v>
      </c>
      <c r="I225" s="1">
        <v>25</v>
      </c>
      <c r="J225" s="2">
        <v>45664</v>
      </c>
      <c r="K225" s="2">
        <v>45349</v>
      </c>
      <c r="L225" s="2">
        <v>45380</v>
      </c>
      <c r="M225" t="s">
        <v>966</v>
      </c>
      <c r="N225">
        <v>73</v>
      </c>
      <c r="O225">
        <v>6</v>
      </c>
      <c r="P225" t="s">
        <v>44</v>
      </c>
      <c r="Q225" t="str">
        <f t="shared" si="15"/>
        <v>Expiry before Received</v>
      </c>
      <c r="R225" s="3">
        <f t="shared" si="13"/>
        <v>500</v>
      </c>
      <c r="S225">
        <f t="shared" si="12"/>
        <v>23</v>
      </c>
      <c r="T225" t="str">
        <f t="shared" si="14"/>
        <v>Reorder Required</v>
      </c>
    </row>
    <row r="226" spans="1:20" x14ac:dyDescent="0.3">
      <c r="A226" t="s">
        <v>967</v>
      </c>
      <c r="B226" t="s">
        <v>234</v>
      </c>
      <c r="C226" t="s">
        <v>29</v>
      </c>
      <c r="D226" t="s">
        <v>968</v>
      </c>
      <c r="E226" t="s">
        <v>810</v>
      </c>
      <c r="F226">
        <v>37</v>
      </c>
      <c r="G226">
        <v>94</v>
      </c>
      <c r="H226">
        <v>76</v>
      </c>
      <c r="I226" s="1">
        <v>15</v>
      </c>
      <c r="J226" s="2">
        <v>45460</v>
      </c>
      <c r="K226" s="2">
        <v>45676</v>
      </c>
      <c r="L226" s="2">
        <v>45692</v>
      </c>
      <c r="M226" t="s">
        <v>969</v>
      </c>
      <c r="N226">
        <v>94</v>
      </c>
      <c r="O226">
        <v>66</v>
      </c>
      <c r="P226" t="s">
        <v>38</v>
      </c>
      <c r="Q226" t="str">
        <f t="shared" si="15"/>
        <v>OK</v>
      </c>
      <c r="R226" s="3">
        <f t="shared" si="13"/>
        <v>555</v>
      </c>
      <c r="S226">
        <f t="shared" si="12"/>
        <v>57</v>
      </c>
      <c r="T226" t="str">
        <f t="shared" si="14"/>
        <v>Reorder Required</v>
      </c>
    </row>
    <row r="227" spans="1:20" x14ac:dyDescent="0.3">
      <c r="A227" t="s">
        <v>970</v>
      </c>
      <c r="B227" t="s">
        <v>108</v>
      </c>
      <c r="C227" t="s">
        <v>22</v>
      </c>
      <c r="D227" t="s">
        <v>971</v>
      </c>
      <c r="E227" t="s">
        <v>972</v>
      </c>
      <c r="F227">
        <v>97</v>
      </c>
      <c r="G227">
        <v>41</v>
      </c>
      <c r="H227">
        <v>68</v>
      </c>
      <c r="I227" s="1">
        <v>1.5</v>
      </c>
      <c r="J227" s="2">
        <v>45671</v>
      </c>
      <c r="K227" s="2">
        <v>45569</v>
      </c>
      <c r="L227" s="2">
        <v>45664</v>
      </c>
      <c r="M227" t="s">
        <v>973</v>
      </c>
      <c r="N227">
        <v>35</v>
      </c>
      <c r="O227">
        <v>16</v>
      </c>
      <c r="P227" t="s">
        <v>26</v>
      </c>
      <c r="Q227" t="str">
        <f t="shared" si="15"/>
        <v>Expiry before Received</v>
      </c>
      <c r="R227" s="3">
        <f t="shared" si="13"/>
        <v>145.5</v>
      </c>
      <c r="S227">
        <f t="shared" si="12"/>
        <v>0</v>
      </c>
      <c r="T227" t="str">
        <f t="shared" si="14"/>
        <v>Sufficient Stock</v>
      </c>
    </row>
    <row r="228" spans="1:20" x14ac:dyDescent="0.3">
      <c r="A228" t="s">
        <v>974</v>
      </c>
      <c r="B228" t="s">
        <v>103</v>
      </c>
      <c r="C228" t="s">
        <v>64</v>
      </c>
      <c r="D228" t="s">
        <v>975</v>
      </c>
      <c r="E228" t="s">
        <v>976</v>
      </c>
      <c r="F228">
        <v>98</v>
      </c>
      <c r="G228">
        <v>77</v>
      </c>
      <c r="H228">
        <v>7</v>
      </c>
      <c r="I228" s="1">
        <v>7</v>
      </c>
      <c r="J228" s="2">
        <v>45567</v>
      </c>
      <c r="K228" s="2">
        <v>45615</v>
      </c>
      <c r="L228" s="2">
        <v>45509</v>
      </c>
      <c r="M228" t="s">
        <v>977</v>
      </c>
      <c r="N228">
        <v>92</v>
      </c>
      <c r="O228">
        <v>29</v>
      </c>
      <c r="P228" t="s">
        <v>26</v>
      </c>
      <c r="Q228" t="str">
        <f t="shared" si="15"/>
        <v>Expiry before Received</v>
      </c>
      <c r="R228" s="3">
        <f t="shared" si="13"/>
        <v>686</v>
      </c>
      <c r="S228">
        <f t="shared" si="12"/>
        <v>0</v>
      </c>
      <c r="T228" t="str">
        <f t="shared" si="14"/>
        <v>Sufficient Stock</v>
      </c>
    </row>
    <row r="229" spans="1:20" x14ac:dyDescent="0.3">
      <c r="A229" t="s">
        <v>978</v>
      </c>
      <c r="B229" t="s">
        <v>256</v>
      </c>
      <c r="C229" t="s">
        <v>47</v>
      </c>
      <c r="D229" t="s">
        <v>979</v>
      </c>
      <c r="E229" t="s">
        <v>980</v>
      </c>
      <c r="F229">
        <v>37</v>
      </c>
      <c r="G229">
        <v>8</v>
      </c>
      <c r="H229">
        <v>50</v>
      </c>
      <c r="I229" s="1">
        <v>6</v>
      </c>
      <c r="J229" s="2">
        <v>45479</v>
      </c>
      <c r="K229" s="2">
        <v>45429</v>
      </c>
      <c r="L229" s="2">
        <v>45680</v>
      </c>
      <c r="M229" t="s">
        <v>981</v>
      </c>
      <c r="N229">
        <v>47</v>
      </c>
      <c r="O229">
        <v>62</v>
      </c>
      <c r="P229" t="s">
        <v>26</v>
      </c>
      <c r="Q229" t="str">
        <f t="shared" si="15"/>
        <v>Last Order before Received</v>
      </c>
      <c r="R229" s="3">
        <f t="shared" si="13"/>
        <v>222</v>
      </c>
      <c r="S229">
        <f t="shared" si="12"/>
        <v>0</v>
      </c>
      <c r="T229" t="str">
        <f t="shared" si="14"/>
        <v>Sufficient Stock</v>
      </c>
    </row>
    <row r="230" spans="1:20" x14ac:dyDescent="0.3">
      <c r="A230" t="s">
        <v>982</v>
      </c>
      <c r="B230" t="s">
        <v>983</v>
      </c>
      <c r="C230" t="s">
        <v>89</v>
      </c>
      <c r="D230" t="s">
        <v>984</v>
      </c>
      <c r="E230" t="s">
        <v>985</v>
      </c>
      <c r="F230">
        <v>97</v>
      </c>
      <c r="G230">
        <v>99</v>
      </c>
      <c r="H230">
        <v>96</v>
      </c>
      <c r="I230" s="1">
        <v>4</v>
      </c>
      <c r="J230" s="2">
        <v>45407</v>
      </c>
      <c r="K230" s="2">
        <v>45679</v>
      </c>
      <c r="L230" s="2">
        <v>45623</v>
      </c>
      <c r="M230" t="s">
        <v>986</v>
      </c>
      <c r="N230">
        <v>57</v>
      </c>
      <c r="O230">
        <v>42</v>
      </c>
      <c r="P230" t="s">
        <v>38</v>
      </c>
      <c r="Q230" t="str">
        <f t="shared" si="15"/>
        <v>OK</v>
      </c>
      <c r="R230" s="3">
        <f t="shared" si="13"/>
        <v>388</v>
      </c>
      <c r="S230">
        <f t="shared" si="12"/>
        <v>2</v>
      </c>
      <c r="T230" t="str">
        <f t="shared" si="14"/>
        <v>Reorder Required</v>
      </c>
    </row>
    <row r="231" spans="1:20" x14ac:dyDescent="0.3">
      <c r="A231" t="s">
        <v>987</v>
      </c>
      <c r="B231" t="s">
        <v>28</v>
      </c>
      <c r="C231" t="s">
        <v>29</v>
      </c>
      <c r="D231" t="s">
        <v>988</v>
      </c>
      <c r="E231" t="s">
        <v>110</v>
      </c>
      <c r="F231">
        <v>97</v>
      </c>
      <c r="G231">
        <v>77</v>
      </c>
      <c r="H231">
        <v>99</v>
      </c>
      <c r="I231" s="1">
        <v>20</v>
      </c>
      <c r="J231" s="2">
        <v>45618</v>
      </c>
      <c r="K231" s="2">
        <v>45406</v>
      </c>
      <c r="L231" s="2">
        <v>45369</v>
      </c>
      <c r="M231" t="s">
        <v>989</v>
      </c>
      <c r="N231">
        <v>74</v>
      </c>
      <c r="O231">
        <v>98</v>
      </c>
      <c r="P231" t="s">
        <v>38</v>
      </c>
      <c r="Q231" t="str">
        <f t="shared" si="15"/>
        <v>Expiry before Received</v>
      </c>
      <c r="R231" s="3">
        <f t="shared" si="13"/>
        <v>1940</v>
      </c>
      <c r="S231">
        <f t="shared" si="12"/>
        <v>0</v>
      </c>
      <c r="T231" t="str">
        <f t="shared" si="14"/>
        <v>Sufficient Stock</v>
      </c>
    </row>
    <row r="232" spans="1:20" x14ac:dyDescent="0.3">
      <c r="A232" t="s">
        <v>990</v>
      </c>
      <c r="B232" t="s">
        <v>229</v>
      </c>
      <c r="C232" t="s">
        <v>47</v>
      </c>
      <c r="D232" t="s">
        <v>991</v>
      </c>
      <c r="E232" t="s">
        <v>267</v>
      </c>
      <c r="F232">
        <v>90</v>
      </c>
      <c r="G232">
        <v>92</v>
      </c>
      <c r="H232">
        <v>56</v>
      </c>
      <c r="I232" s="1">
        <v>2.5</v>
      </c>
      <c r="J232" s="2">
        <v>45501</v>
      </c>
      <c r="K232" s="2">
        <v>45409</v>
      </c>
      <c r="L232" s="2">
        <v>45365</v>
      </c>
      <c r="M232" t="s">
        <v>992</v>
      </c>
      <c r="N232">
        <v>71</v>
      </c>
      <c r="O232">
        <v>13</v>
      </c>
      <c r="P232" t="s">
        <v>44</v>
      </c>
      <c r="Q232" t="str">
        <f t="shared" si="15"/>
        <v>Expiry before Received</v>
      </c>
      <c r="R232" s="3">
        <f t="shared" si="13"/>
        <v>225</v>
      </c>
      <c r="S232">
        <f t="shared" si="12"/>
        <v>2</v>
      </c>
      <c r="T232" t="str">
        <f t="shared" si="14"/>
        <v>Reorder Required</v>
      </c>
    </row>
    <row r="233" spans="1:20" x14ac:dyDescent="0.3">
      <c r="A233" t="s">
        <v>993</v>
      </c>
      <c r="B233" t="s">
        <v>28</v>
      </c>
      <c r="C233" t="s">
        <v>29</v>
      </c>
      <c r="D233" t="s">
        <v>994</v>
      </c>
      <c r="E233" t="s">
        <v>995</v>
      </c>
      <c r="F233">
        <v>46</v>
      </c>
      <c r="G233">
        <v>31</v>
      </c>
      <c r="H233">
        <v>89</v>
      </c>
      <c r="I233" s="1">
        <v>20</v>
      </c>
      <c r="J233" s="2">
        <v>45661</v>
      </c>
      <c r="K233" s="2">
        <v>45372</v>
      </c>
      <c r="L233" s="2">
        <v>45357</v>
      </c>
      <c r="M233" t="s">
        <v>996</v>
      </c>
      <c r="N233">
        <v>59</v>
      </c>
      <c r="O233">
        <v>65</v>
      </c>
      <c r="P233" t="s">
        <v>38</v>
      </c>
      <c r="Q233" t="str">
        <f t="shared" si="15"/>
        <v>Expiry before Received</v>
      </c>
      <c r="R233" s="3">
        <f t="shared" si="13"/>
        <v>920</v>
      </c>
      <c r="S233">
        <f t="shared" si="12"/>
        <v>0</v>
      </c>
      <c r="T233" t="str">
        <f t="shared" si="14"/>
        <v>Sufficient Stock</v>
      </c>
    </row>
    <row r="234" spans="1:20" x14ac:dyDescent="0.3">
      <c r="A234" t="s">
        <v>997</v>
      </c>
      <c r="B234" t="s">
        <v>349</v>
      </c>
      <c r="C234" t="s">
        <v>47</v>
      </c>
      <c r="D234" t="s">
        <v>998</v>
      </c>
      <c r="E234" t="s">
        <v>999</v>
      </c>
      <c r="F234">
        <v>40</v>
      </c>
      <c r="G234">
        <v>8</v>
      </c>
      <c r="H234">
        <v>98</v>
      </c>
      <c r="I234" s="1">
        <v>4</v>
      </c>
      <c r="J234" s="2">
        <v>45499</v>
      </c>
      <c r="K234" s="2">
        <v>45694</v>
      </c>
      <c r="L234" s="2">
        <v>45452</v>
      </c>
      <c r="M234" t="s">
        <v>1000</v>
      </c>
      <c r="N234">
        <v>86</v>
      </c>
      <c r="O234">
        <v>12</v>
      </c>
      <c r="P234" t="s">
        <v>26</v>
      </c>
      <c r="Q234" t="str">
        <f t="shared" si="15"/>
        <v>Expiry before Received</v>
      </c>
      <c r="R234" s="3">
        <f t="shared" si="13"/>
        <v>160</v>
      </c>
      <c r="S234">
        <f t="shared" si="12"/>
        <v>0</v>
      </c>
      <c r="T234" t="str">
        <f t="shared" si="14"/>
        <v>Sufficient Stock</v>
      </c>
    </row>
    <row r="235" spans="1:20" x14ac:dyDescent="0.3">
      <c r="A235" t="s">
        <v>1001</v>
      </c>
      <c r="B235" t="s">
        <v>1002</v>
      </c>
      <c r="C235" t="s">
        <v>47</v>
      </c>
      <c r="D235" t="s">
        <v>1003</v>
      </c>
      <c r="E235" t="s">
        <v>1004</v>
      </c>
      <c r="F235">
        <v>77</v>
      </c>
      <c r="G235">
        <v>52</v>
      </c>
      <c r="H235">
        <v>28</v>
      </c>
      <c r="I235" s="1">
        <v>4</v>
      </c>
      <c r="J235" s="2">
        <v>45645</v>
      </c>
      <c r="K235" s="2">
        <v>45615</v>
      </c>
      <c r="L235" s="2">
        <v>45413</v>
      </c>
      <c r="M235" t="s">
        <v>1005</v>
      </c>
      <c r="N235">
        <v>48</v>
      </c>
      <c r="O235">
        <v>43</v>
      </c>
      <c r="P235" t="s">
        <v>44</v>
      </c>
      <c r="Q235" t="str">
        <f t="shared" si="15"/>
        <v>Expiry before Received</v>
      </c>
      <c r="R235" s="3">
        <f t="shared" si="13"/>
        <v>308</v>
      </c>
      <c r="S235">
        <f t="shared" si="12"/>
        <v>0</v>
      </c>
      <c r="T235" t="str">
        <f t="shared" si="14"/>
        <v>Sufficient Stock</v>
      </c>
    </row>
    <row r="236" spans="1:20" x14ac:dyDescent="0.3">
      <c r="A236" t="s">
        <v>1006</v>
      </c>
      <c r="B236" t="s">
        <v>108</v>
      </c>
      <c r="C236" t="s">
        <v>22</v>
      </c>
      <c r="D236" t="s">
        <v>1007</v>
      </c>
      <c r="E236" t="s">
        <v>939</v>
      </c>
      <c r="F236">
        <v>62</v>
      </c>
      <c r="G236">
        <v>79</v>
      </c>
      <c r="H236">
        <v>23</v>
      </c>
      <c r="I236" s="1">
        <v>1.5</v>
      </c>
      <c r="J236" s="2">
        <v>45495</v>
      </c>
      <c r="K236" s="2">
        <v>45350</v>
      </c>
      <c r="L236" s="2">
        <v>45583</v>
      </c>
      <c r="M236" t="s">
        <v>1008</v>
      </c>
      <c r="N236">
        <v>32</v>
      </c>
      <c r="O236">
        <v>80</v>
      </c>
      <c r="P236" t="s">
        <v>44</v>
      </c>
      <c r="Q236" t="str">
        <f t="shared" si="15"/>
        <v>Last Order before Received</v>
      </c>
      <c r="R236" s="3">
        <f t="shared" si="13"/>
        <v>93</v>
      </c>
      <c r="S236">
        <f t="shared" si="12"/>
        <v>17</v>
      </c>
      <c r="T236" t="str">
        <f t="shared" si="14"/>
        <v>Reorder Required</v>
      </c>
    </row>
    <row r="237" spans="1:20" x14ac:dyDescent="0.3">
      <c r="A237" t="s">
        <v>1009</v>
      </c>
      <c r="B237" t="s">
        <v>191</v>
      </c>
      <c r="C237" t="s">
        <v>29</v>
      </c>
      <c r="D237" t="s">
        <v>1010</v>
      </c>
      <c r="E237" t="s">
        <v>1011</v>
      </c>
      <c r="F237">
        <v>59</v>
      </c>
      <c r="G237">
        <v>17</v>
      </c>
      <c r="H237">
        <v>1</v>
      </c>
      <c r="I237" s="1">
        <v>30</v>
      </c>
      <c r="J237" s="2">
        <v>45494</v>
      </c>
      <c r="K237" s="2">
        <v>45530</v>
      </c>
      <c r="L237" s="2">
        <v>45629</v>
      </c>
      <c r="M237" t="s">
        <v>1012</v>
      </c>
      <c r="N237">
        <v>69</v>
      </c>
      <c r="O237">
        <v>82</v>
      </c>
      <c r="P237" t="s">
        <v>44</v>
      </c>
      <c r="Q237" t="str">
        <f t="shared" si="15"/>
        <v>OK</v>
      </c>
      <c r="R237" s="3">
        <f t="shared" si="13"/>
        <v>1770</v>
      </c>
      <c r="S237">
        <f t="shared" si="12"/>
        <v>0</v>
      </c>
      <c r="T237" t="str">
        <f t="shared" si="14"/>
        <v>Sufficient Stock</v>
      </c>
    </row>
    <row r="238" spans="1:20" x14ac:dyDescent="0.3">
      <c r="A238" t="s">
        <v>1013</v>
      </c>
      <c r="B238" t="s">
        <v>440</v>
      </c>
      <c r="C238" t="s">
        <v>47</v>
      </c>
      <c r="D238" t="s">
        <v>1014</v>
      </c>
      <c r="E238" t="s">
        <v>207</v>
      </c>
      <c r="F238">
        <v>23</v>
      </c>
      <c r="G238">
        <v>38</v>
      </c>
      <c r="H238">
        <v>54</v>
      </c>
      <c r="I238" s="1">
        <v>10</v>
      </c>
      <c r="J238" s="2">
        <v>45674</v>
      </c>
      <c r="K238" s="2">
        <v>45487</v>
      </c>
      <c r="L238" s="2">
        <v>45397</v>
      </c>
      <c r="M238" t="s">
        <v>1015</v>
      </c>
      <c r="N238">
        <v>40</v>
      </c>
      <c r="O238">
        <v>15</v>
      </c>
      <c r="P238" t="s">
        <v>44</v>
      </c>
      <c r="Q238" t="str">
        <f t="shared" si="15"/>
        <v>Expiry before Received</v>
      </c>
      <c r="R238" s="3">
        <f t="shared" si="13"/>
        <v>230</v>
      </c>
      <c r="S238">
        <f t="shared" si="12"/>
        <v>15</v>
      </c>
      <c r="T238" t="str">
        <f t="shared" si="14"/>
        <v>Reorder Required</v>
      </c>
    </row>
    <row r="239" spans="1:20" x14ac:dyDescent="0.3">
      <c r="A239" t="s">
        <v>1016</v>
      </c>
      <c r="B239" t="s">
        <v>983</v>
      </c>
      <c r="C239" t="s">
        <v>89</v>
      </c>
      <c r="D239" t="s">
        <v>1017</v>
      </c>
      <c r="E239" t="s">
        <v>547</v>
      </c>
      <c r="F239">
        <v>39</v>
      </c>
      <c r="G239">
        <v>16</v>
      </c>
      <c r="H239">
        <v>57</v>
      </c>
      <c r="I239" s="1">
        <v>4</v>
      </c>
      <c r="J239" s="2">
        <v>45647</v>
      </c>
      <c r="K239" s="2">
        <v>45391</v>
      </c>
      <c r="L239" s="2">
        <v>45465</v>
      </c>
      <c r="M239" t="s">
        <v>1018</v>
      </c>
      <c r="N239">
        <v>98</v>
      </c>
      <c r="O239">
        <v>12</v>
      </c>
      <c r="P239" t="s">
        <v>44</v>
      </c>
      <c r="Q239" t="str">
        <f t="shared" si="15"/>
        <v>Expiry before Received</v>
      </c>
      <c r="R239" s="3">
        <f t="shared" si="13"/>
        <v>156</v>
      </c>
      <c r="S239">
        <f t="shared" si="12"/>
        <v>0</v>
      </c>
      <c r="T239" t="str">
        <f t="shared" si="14"/>
        <v>Sufficient Stock</v>
      </c>
    </row>
    <row r="240" spans="1:20" x14ac:dyDescent="0.3">
      <c r="A240" t="s">
        <v>1019</v>
      </c>
      <c r="B240" t="s">
        <v>612</v>
      </c>
      <c r="C240" t="s">
        <v>64</v>
      </c>
      <c r="D240" t="s">
        <v>1020</v>
      </c>
      <c r="E240" t="s">
        <v>188</v>
      </c>
      <c r="F240">
        <v>68</v>
      </c>
      <c r="G240">
        <v>29</v>
      </c>
      <c r="H240">
        <v>31</v>
      </c>
      <c r="I240" s="1">
        <v>7</v>
      </c>
      <c r="J240" s="2">
        <v>45510</v>
      </c>
      <c r="K240" s="2">
        <v>45446</v>
      </c>
      <c r="L240" s="2">
        <v>45544</v>
      </c>
      <c r="M240" t="s">
        <v>1021</v>
      </c>
      <c r="N240">
        <v>53</v>
      </c>
      <c r="O240">
        <v>20</v>
      </c>
      <c r="P240" t="s">
        <v>38</v>
      </c>
      <c r="Q240" t="str">
        <f t="shared" si="15"/>
        <v>Last Order before Received</v>
      </c>
      <c r="R240" s="3">
        <f t="shared" si="13"/>
        <v>476</v>
      </c>
      <c r="S240">
        <f t="shared" si="12"/>
        <v>0</v>
      </c>
      <c r="T240" t="str">
        <f t="shared" si="14"/>
        <v>Sufficient Stock</v>
      </c>
    </row>
    <row r="241" spans="1:20" x14ac:dyDescent="0.3">
      <c r="A241" t="s">
        <v>1022</v>
      </c>
      <c r="B241" t="s">
        <v>501</v>
      </c>
      <c r="C241" t="s">
        <v>22</v>
      </c>
      <c r="D241" t="s">
        <v>1023</v>
      </c>
      <c r="E241" t="s">
        <v>1024</v>
      </c>
      <c r="F241">
        <v>75</v>
      </c>
      <c r="G241">
        <v>46</v>
      </c>
      <c r="H241">
        <v>75</v>
      </c>
      <c r="I241" s="1">
        <v>9.5</v>
      </c>
      <c r="J241" s="2">
        <v>45530</v>
      </c>
      <c r="K241" s="2">
        <v>45565</v>
      </c>
      <c r="L241" s="2">
        <v>45591</v>
      </c>
      <c r="M241" t="s">
        <v>1025</v>
      </c>
      <c r="N241">
        <v>43</v>
      </c>
      <c r="O241">
        <v>77</v>
      </c>
      <c r="P241" t="s">
        <v>38</v>
      </c>
      <c r="Q241" t="str">
        <f t="shared" si="15"/>
        <v>OK</v>
      </c>
      <c r="R241" s="3">
        <f t="shared" si="13"/>
        <v>712.5</v>
      </c>
      <c r="S241">
        <f t="shared" si="12"/>
        <v>0</v>
      </c>
      <c r="T241" t="str">
        <f t="shared" si="14"/>
        <v>Sufficient Stock</v>
      </c>
    </row>
    <row r="242" spans="1:20" x14ac:dyDescent="0.3">
      <c r="A242" t="s">
        <v>1026</v>
      </c>
      <c r="B242" t="s">
        <v>445</v>
      </c>
      <c r="C242" t="s">
        <v>89</v>
      </c>
      <c r="D242" t="s">
        <v>1027</v>
      </c>
      <c r="E242" t="s">
        <v>1028</v>
      </c>
      <c r="F242">
        <v>96</v>
      </c>
      <c r="G242">
        <v>16</v>
      </c>
      <c r="H242">
        <v>48</v>
      </c>
      <c r="I242" s="1">
        <v>5</v>
      </c>
      <c r="J242" s="2">
        <v>45600</v>
      </c>
      <c r="K242" s="2">
        <v>45386</v>
      </c>
      <c r="L242" s="2">
        <v>45683</v>
      </c>
      <c r="M242" t="s">
        <v>1029</v>
      </c>
      <c r="N242">
        <v>45</v>
      </c>
      <c r="O242">
        <v>68</v>
      </c>
      <c r="P242" t="s">
        <v>44</v>
      </c>
      <c r="Q242" t="str">
        <f t="shared" si="15"/>
        <v>Last Order before Received</v>
      </c>
      <c r="R242" s="3">
        <f t="shared" si="13"/>
        <v>480</v>
      </c>
      <c r="S242">
        <f t="shared" si="12"/>
        <v>0</v>
      </c>
      <c r="T242" t="str">
        <f t="shared" si="14"/>
        <v>Sufficient Stock</v>
      </c>
    </row>
    <row r="243" spans="1:20" x14ac:dyDescent="0.3">
      <c r="A243" t="s">
        <v>1030</v>
      </c>
      <c r="B243" t="s">
        <v>196</v>
      </c>
      <c r="C243" t="s">
        <v>132</v>
      </c>
      <c r="D243" t="s">
        <v>1031</v>
      </c>
      <c r="E243" t="s">
        <v>1032</v>
      </c>
      <c r="F243">
        <v>17</v>
      </c>
      <c r="G243">
        <v>38</v>
      </c>
      <c r="H243">
        <v>93</v>
      </c>
      <c r="I243" s="1">
        <v>9</v>
      </c>
      <c r="J243" s="2">
        <v>45702</v>
      </c>
      <c r="K243" s="2">
        <v>45524</v>
      </c>
      <c r="L243" s="2">
        <v>45501</v>
      </c>
      <c r="M243" t="s">
        <v>1033</v>
      </c>
      <c r="N243">
        <v>100</v>
      </c>
      <c r="O243">
        <v>63</v>
      </c>
      <c r="P243" t="s">
        <v>44</v>
      </c>
      <c r="Q243" t="str">
        <f t="shared" si="15"/>
        <v>Expiry before Received</v>
      </c>
      <c r="R243" s="3">
        <f t="shared" si="13"/>
        <v>153</v>
      </c>
      <c r="S243">
        <f t="shared" si="12"/>
        <v>21</v>
      </c>
      <c r="T243" t="str">
        <f t="shared" si="14"/>
        <v>Reorder Required</v>
      </c>
    </row>
    <row r="244" spans="1:20" x14ac:dyDescent="0.3">
      <c r="A244" t="s">
        <v>1034</v>
      </c>
      <c r="B244" t="s">
        <v>74</v>
      </c>
      <c r="C244" t="s">
        <v>64</v>
      </c>
      <c r="D244" t="s">
        <v>1035</v>
      </c>
      <c r="E244" t="s">
        <v>1036</v>
      </c>
      <c r="F244">
        <v>23</v>
      </c>
      <c r="G244">
        <v>38</v>
      </c>
      <c r="H244">
        <v>25</v>
      </c>
      <c r="I244" s="1">
        <v>1</v>
      </c>
      <c r="J244" s="2">
        <v>45425</v>
      </c>
      <c r="K244" s="2">
        <v>45709</v>
      </c>
      <c r="L244" s="2">
        <v>45672</v>
      </c>
      <c r="M244" t="s">
        <v>1037</v>
      </c>
      <c r="N244">
        <v>84</v>
      </c>
      <c r="O244">
        <v>78</v>
      </c>
      <c r="P244" t="s">
        <v>26</v>
      </c>
      <c r="Q244" t="str">
        <f t="shared" si="15"/>
        <v>OK</v>
      </c>
      <c r="R244" s="3">
        <f t="shared" si="13"/>
        <v>23</v>
      </c>
      <c r="S244">
        <f t="shared" si="12"/>
        <v>15</v>
      </c>
      <c r="T244" t="str">
        <f t="shared" si="14"/>
        <v>Reorder Required</v>
      </c>
    </row>
    <row r="245" spans="1:20" x14ac:dyDescent="0.3">
      <c r="A245" t="s">
        <v>1038</v>
      </c>
      <c r="B245" t="s">
        <v>554</v>
      </c>
      <c r="C245" t="s">
        <v>47</v>
      </c>
      <c r="D245" t="s">
        <v>1039</v>
      </c>
      <c r="E245" t="s">
        <v>382</v>
      </c>
      <c r="F245">
        <v>15</v>
      </c>
      <c r="G245">
        <v>27</v>
      </c>
      <c r="H245">
        <v>21</v>
      </c>
      <c r="I245" s="1">
        <v>4</v>
      </c>
      <c r="J245" s="2">
        <v>45454</v>
      </c>
      <c r="K245" s="2">
        <v>45709</v>
      </c>
      <c r="L245" s="2">
        <v>45538</v>
      </c>
      <c r="M245" t="s">
        <v>1040</v>
      </c>
      <c r="N245">
        <v>37</v>
      </c>
      <c r="O245">
        <v>67</v>
      </c>
      <c r="P245" t="s">
        <v>38</v>
      </c>
      <c r="Q245" t="str">
        <f t="shared" si="15"/>
        <v>OK</v>
      </c>
      <c r="R245" s="3">
        <f t="shared" si="13"/>
        <v>60</v>
      </c>
      <c r="S245">
        <f t="shared" si="12"/>
        <v>12</v>
      </c>
      <c r="T245" t="str">
        <f t="shared" si="14"/>
        <v>Reorder Required</v>
      </c>
    </row>
    <row r="246" spans="1:20" x14ac:dyDescent="0.3">
      <c r="A246" t="s">
        <v>1041</v>
      </c>
      <c r="B246" t="s">
        <v>1042</v>
      </c>
      <c r="C246" t="s">
        <v>132</v>
      </c>
      <c r="D246" t="s">
        <v>1043</v>
      </c>
      <c r="E246" t="s">
        <v>1044</v>
      </c>
      <c r="F246">
        <v>71</v>
      </c>
      <c r="G246">
        <v>7</v>
      </c>
      <c r="H246">
        <v>6</v>
      </c>
      <c r="I246" s="1">
        <v>7.5</v>
      </c>
      <c r="J246" s="2">
        <v>45533</v>
      </c>
      <c r="K246" s="2">
        <v>45628</v>
      </c>
      <c r="L246" s="2">
        <v>45539</v>
      </c>
      <c r="M246" t="s">
        <v>1045</v>
      </c>
      <c r="N246">
        <v>52</v>
      </c>
      <c r="O246">
        <v>68</v>
      </c>
      <c r="P246" t="s">
        <v>38</v>
      </c>
      <c r="Q246" t="str">
        <f t="shared" si="15"/>
        <v>OK</v>
      </c>
      <c r="R246" s="3">
        <f t="shared" si="13"/>
        <v>532.5</v>
      </c>
      <c r="S246">
        <f t="shared" si="12"/>
        <v>0</v>
      </c>
      <c r="T246" t="str">
        <f t="shared" si="14"/>
        <v>Sufficient Stock</v>
      </c>
    </row>
    <row r="247" spans="1:20" x14ac:dyDescent="0.3">
      <c r="A247" t="s">
        <v>1046</v>
      </c>
      <c r="B247" t="s">
        <v>63</v>
      </c>
      <c r="C247" t="s">
        <v>64</v>
      </c>
      <c r="D247" t="s">
        <v>1047</v>
      </c>
      <c r="E247" t="s">
        <v>1048</v>
      </c>
      <c r="F247">
        <v>97</v>
      </c>
      <c r="G247">
        <v>26</v>
      </c>
      <c r="H247">
        <v>15</v>
      </c>
      <c r="I247" s="1">
        <v>2.5</v>
      </c>
      <c r="J247" s="2">
        <v>45525</v>
      </c>
      <c r="K247" s="2">
        <v>45691</v>
      </c>
      <c r="L247" s="2">
        <v>45606</v>
      </c>
      <c r="M247" t="s">
        <v>1049</v>
      </c>
      <c r="N247">
        <v>33</v>
      </c>
      <c r="O247">
        <v>58</v>
      </c>
      <c r="P247" t="s">
        <v>26</v>
      </c>
      <c r="Q247" t="str">
        <f t="shared" si="15"/>
        <v>OK</v>
      </c>
      <c r="R247" s="3">
        <f t="shared" si="13"/>
        <v>242.5</v>
      </c>
      <c r="S247">
        <f t="shared" si="12"/>
        <v>0</v>
      </c>
      <c r="T247" t="str">
        <f t="shared" si="14"/>
        <v>Sufficient Stock</v>
      </c>
    </row>
    <row r="248" spans="1:20" x14ac:dyDescent="0.3">
      <c r="A248" t="s">
        <v>1050</v>
      </c>
      <c r="B248" t="s">
        <v>214</v>
      </c>
      <c r="C248" t="s">
        <v>47</v>
      </c>
      <c r="D248" t="s">
        <v>1051</v>
      </c>
      <c r="E248" t="s">
        <v>271</v>
      </c>
      <c r="F248">
        <v>29</v>
      </c>
      <c r="G248">
        <v>18</v>
      </c>
      <c r="H248">
        <v>86</v>
      </c>
      <c r="I248" s="1">
        <v>2.5</v>
      </c>
      <c r="J248" s="2">
        <v>45589</v>
      </c>
      <c r="K248" s="2">
        <v>45612</v>
      </c>
      <c r="L248" s="2">
        <v>45423</v>
      </c>
      <c r="M248" t="s">
        <v>1052</v>
      </c>
      <c r="N248">
        <v>53</v>
      </c>
      <c r="O248">
        <v>69</v>
      </c>
      <c r="P248" t="s">
        <v>44</v>
      </c>
      <c r="Q248" t="str">
        <f t="shared" si="15"/>
        <v>Expiry before Received</v>
      </c>
      <c r="R248" s="3">
        <f t="shared" si="13"/>
        <v>72.5</v>
      </c>
      <c r="S248">
        <f t="shared" si="12"/>
        <v>0</v>
      </c>
      <c r="T248" t="str">
        <f t="shared" si="14"/>
        <v>Sufficient Stock</v>
      </c>
    </row>
    <row r="249" spans="1:20" x14ac:dyDescent="0.3">
      <c r="A249" t="s">
        <v>1053</v>
      </c>
      <c r="B249" t="s">
        <v>368</v>
      </c>
      <c r="C249" t="s">
        <v>47</v>
      </c>
      <c r="D249" t="s">
        <v>1054</v>
      </c>
      <c r="E249" t="s">
        <v>1024</v>
      </c>
      <c r="F249">
        <v>46</v>
      </c>
      <c r="G249">
        <v>64</v>
      </c>
      <c r="H249">
        <v>17</v>
      </c>
      <c r="I249" s="1">
        <v>4.5999999999999996</v>
      </c>
      <c r="J249" s="2">
        <v>45352</v>
      </c>
      <c r="K249" s="2">
        <v>45663</v>
      </c>
      <c r="L249" s="2">
        <v>45688</v>
      </c>
      <c r="M249" t="s">
        <v>1055</v>
      </c>
      <c r="N249">
        <v>96</v>
      </c>
      <c r="O249">
        <v>55</v>
      </c>
      <c r="P249" t="s">
        <v>26</v>
      </c>
      <c r="Q249" t="str">
        <f t="shared" si="15"/>
        <v>OK</v>
      </c>
      <c r="R249" s="3">
        <f t="shared" si="13"/>
        <v>211.6</v>
      </c>
      <c r="S249">
        <f t="shared" si="12"/>
        <v>18</v>
      </c>
      <c r="T249" t="str">
        <f t="shared" si="14"/>
        <v>Reorder Required</v>
      </c>
    </row>
    <row r="250" spans="1:20" x14ac:dyDescent="0.3">
      <c r="A250" t="s">
        <v>1056</v>
      </c>
      <c r="B250" t="s">
        <v>450</v>
      </c>
      <c r="C250" t="s">
        <v>64</v>
      </c>
      <c r="D250" t="s">
        <v>1057</v>
      </c>
      <c r="E250" t="s">
        <v>802</v>
      </c>
      <c r="F250">
        <v>76</v>
      </c>
      <c r="G250">
        <v>15</v>
      </c>
      <c r="H250">
        <v>99</v>
      </c>
      <c r="I250" s="1">
        <v>9.5</v>
      </c>
      <c r="J250" s="2">
        <v>45689</v>
      </c>
      <c r="K250" s="2">
        <v>45499</v>
      </c>
      <c r="L250" s="2">
        <v>45418</v>
      </c>
      <c r="M250" t="s">
        <v>1058</v>
      </c>
      <c r="N250">
        <v>60</v>
      </c>
      <c r="O250">
        <v>49</v>
      </c>
      <c r="P250" t="s">
        <v>26</v>
      </c>
      <c r="Q250" t="str">
        <f t="shared" si="15"/>
        <v>Expiry before Received</v>
      </c>
      <c r="R250" s="3">
        <f t="shared" si="13"/>
        <v>722</v>
      </c>
      <c r="S250">
        <f t="shared" si="12"/>
        <v>0</v>
      </c>
      <c r="T250" t="str">
        <f t="shared" si="14"/>
        <v>Sufficient Stock</v>
      </c>
    </row>
    <row r="251" spans="1:20" x14ac:dyDescent="0.3">
      <c r="A251" t="s">
        <v>1059</v>
      </c>
      <c r="B251" t="s">
        <v>214</v>
      </c>
      <c r="C251" t="s">
        <v>47</v>
      </c>
      <c r="D251" t="s">
        <v>1060</v>
      </c>
      <c r="E251" t="s">
        <v>802</v>
      </c>
      <c r="F251">
        <v>59</v>
      </c>
      <c r="G251">
        <v>91</v>
      </c>
      <c r="H251">
        <v>24</v>
      </c>
      <c r="I251" s="1">
        <v>2.5</v>
      </c>
      <c r="J251" s="2">
        <v>45592</v>
      </c>
      <c r="K251" s="2">
        <v>45472</v>
      </c>
      <c r="L251" s="2">
        <v>45642</v>
      </c>
      <c r="M251" t="s">
        <v>1061</v>
      </c>
      <c r="N251">
        <v>54</v>
      </c>
      <c r="O251">
        <v>87</v>
      </c>
      <c r="P251" t="s">
        <v>44</v>
      </c>
      <c r="Q251" t="str">
        <f t="shared" si="15"/>
        <v>Last Order before Received</v>
      </c>
      <c r="R251" s="3">
        <f t="shared" si="13"/>
        <v>147.5</v>
      </c>
      <c r="S251">
        <f t="shared" si="12"/>
        <v>32</v>
      </c>
      <c r="T251" t="str">
        <f t="shared" si="14"/>
        <v>Reorder Required</v>
      </c>
    </row>
    <row r="252" spans="1:20" x14ac:dyDescent="0.3">
      <c r="A252" t="s">
        <v>1062</v>
      </c>
      <c r="B252" t="s">
        <v>274</v>
      </c>
      <c r="C252" t="s">
        <v>47</v>
      </c>
      <c r="D252" t="s">
        <v>1063</v>
      </c>
      <c r="E252" t="s">
        <v>1064</v>
      </c>
      <c r="F252">
        <v>92</v>
      </c>
      <c r="G252">
        <v>54</v>
      </c>
      <c r="H252">
        <v>73</v>
      </c>
      <c r="I252" s="1">
        <v>3.1</v>
      </c>
      <c r="J252" s="2">
        <v>45695</v>
      </c>
      <c r="K252" s="2">
        <v>45674</v>
      </c>
      <c r="L252" s="2">
        <v>45639</v>
      </c>
      <c r="M252" t="s">
        <v>1065</v>
      </c>
      <c r="N252">
        <v>79</v>
      </c>
      <c r="O252">
        <v>1</v>
      </c>
      <c r="P252" t="s">
        <v>38</v>
      </c>
      <c r="Q252" t="str">
        <f t="shared" si="15"/>
        <v>Expiry before Received</v>
      </c>
      <c r="R252" s="3">
        <f t="shared" si="13"/>
        <v>285.2</v>
      </c>
      <c r="S252">
        <f t="shared" si="12"/>
        <v>0</v>
      </c>
      <c r="T252" t="str">
        <f t="shared" si="14"/>
        <v>Sufficient Stock</v>
      </c>
    </row>
    <row r="253" spans="1:20" x14ac:dyDescent="0.3">
      <c r="A253" t="s">
        <v>1066</v>
      </c>
      <c r="B253" t="s">
        <v>256</v>
      </c>
      <c r="C253" t="s">
        <v>47</v>
      </c>
      <c r="D253" t="s">
        <v>1067</v>
      </c>
      <c r="E253" t="s">
        <v>947</v>
      </c>
      <c r="F253">
        <v>28</v>
      </c>
      <c r="G253">
        <v>27</v>
      </c>
      <c r="H253">
        <v>22</v>
      </c>
      <c r="I253" s="1">
        <v>6</v>
      </c>
      <c r="J253" s="2">
        <v>45427</v>
      </c>
      <c r="K253" s="2">
        <v>45519</v>
      </c>
      <c r="L253" s="2">
        <v>45423</v>
      </c>
      <c r="M253" t="s">
        <v>1068</v>
      </c>
      <c r="N253">
        <v>70</v>
      </c>
      <c r="O253">
        <v>30</v>
      </c>
      <c r="P253" t="s">
        <v>26</v>
      </c>
      <c r="Q253" t="str">
        <f t="shared" si="15"/>
        <v>Expiry before Received</v>
      </c>
      <c r="R253" s="3">
        <f t="shared" si="13"/>
        <v>168</v>
      </c>
      <c r="S253">
        <f t="shared" si="12"/>
        <v>0</v>
      </c>
      <c r="T253" t="str">
        <f t="shared" si="14"/>
        <v>Sufficient Stock</v>
      </c>
    </row>
    <row r="254" spans="1:20" x14ac:dyDescent="0.3">
      <c r="A254" t="s">
        <v>1069</v>
      </c>
      <c r="B254" t="s">
        <v>528</v>
      </c>
      <c r="C254" t="s">
        <v>47</v>
      </c>
      <c r="D254" t="s">
        <v>1070</v>
      </c>
      <c r="E254" t="s">
        <v>1071</v>
      </c>
      <c r="F254">
        <v>19</v>
      </c>
      <c r="G254">
        <v>47</v>
      </c>
      <c r="H254">
        <v>25</v>
      </c>
      <c r="I254" s="1">
        <v>5</v>
      </c>
      <c r="J254" s="2">
        <v>45644</v>
      </c>
      <c r="K254" s="2">
        <v>45712</v>
      </c>
      <c r="L254" s="2">
        <v>45685</v>
      </c>
      <c r="M254" t="s">
        <v>1072</v>
      </c>
      <c r="N254">
        <v>96</v>
      </c>
      <c r="O254">
        <v>37</v>
      </c>
      <c r="P254" t="s">
        <v>26</v>
      </c>
      <c r="Q254" t="str">
        <f t="shared" si="15"/>
        <v>OK</v>
      </c>
      <c r="R254" s="3">
        <f t="shared" si="13"/>
        <v>95</v>
      </c>
      <c r="S254">
        <f t="shared" si="12"/>
        <v>28</v>
      </c>
      <c r="T254" t="str">
        <f t="shared" si="14"/>
        <v>Reorder Required</v>
      </c>
    </row>
    <row r="255" spans="1:20" x14ac:dyDescent="0.3">
      <c r="A255" t="s">
        <v>1073</v>
      </c>
      <c r="B255" t="s">
        <v>238</v>
      </c>
      <c r="C255" t="s">
        <v>64</v>
      </c>
      <c r="D255" t="s">
        <v>1074</v>
      </c>
      <c r="E255" t="s">
        <v>742</v>
      </c>
      <c r="F255">
        <v>85</v>
      </c>
      <c r="G255">
        <v>28</v>
      </c>
      <c r="H255">
        <v>21</v>
      </c>
      <c r="I255" s="1">
        <v>3</v>
      </c>
      <c r="J255" s="2">
        <v>45524</v>
      </c>
      <c r="K255" s="2">
        <v>45473</v>
      </c>
      <c r="L255" s="2">
        <v>45455</v>
      </c>
      <c r="M255" t="s">
        <v>1075</v>
      </c>
      <c r="N255">
        <v>45</v>
      </c>
      <c r="O255">
        <v>89</v>
      </c>
      <c r="P255" t="s">
        <v>44</v>
      </c>
      <c r="Q255" t="str">
        <f t="shared" si="15"/>
        <v>Expiry before Received</v>
      </c>
      <c r="R255" s="3">
        <f t="shared" si="13"/>
        <v>255</v>
      </c>
      <c r="S255">
        <f t="shared" si="12"/>
        <v>0</v>
      </c>
      <c r="T255" t="str">
        <f t="shared" si="14"/>
        <v>Sufficient Stock</v>
      </c>
    </row>
    <row r="256" spans="1:20" x14ac:dyDescent="0.3">
      <c r="A256" t="s">
        <v>1076</v>
      </c>
      <c r="B256" t="s">
        <v>108</v>
      </c>
      <c r="C256" t="s">
        <v>22</v>
      </c>
      <c r="D256" t="s">
        <v>1077</v>
      </c>
      <c r="E256" t="s">
        <v>1078</v>
      </c>
      <c r="F256">
        <v>57</v>
      </c>
      <c r="G256">
        <v>63</v>
      </c>
      <c r="H256">
        <v>41</v>
      </c>
      <c r="I256" s="1">
        <v>1.5</v>
      </c>
      <c r="J256" s="2">
        <v>45529</v>
      </c>
      <c r="K256" s="2">
        <v>45705</v>
      </c>
      <c r="L256" s="2">
        <v>45595</v>
      </c>
      <c r="M256" t="s">
        <v>1079</v>
      </c>
      <c r="N256">
        <v>53</v>
      </c>
      <c r="O256">
        <v>94</v>
      </c>
      <c r="P256" t="s">
        <v>26</v>
      </c>
      <c r="Q256" t="str">
        <f t="shared" si="15"/>
        <v>OK</v>
      </c>
      <c r="R256" s="3">
        <f t="shared" si="13"/>
        <v>85.5</v>
      </c>
      <c r="S256">
        <f t="shared" si="12"/>
        <v>6</v>
      </c>
      <c r="T256" t="str">
        <f t="shared" si="14"/>
        <v>Reorder Required</v>
      </c>
    </row>
    <row r="257" spans="1:20" x14ac:dyDescent="0.3">
      <c r="A257" t="s">
        <v>1080</v>
      </c>
      <c r="B257" t="s">
        <v>349</v>
      </c>
      <c r="C257" t="s">
        <v>47</v>
      </c>
      <c r="D257" t="s">
        <v>1081</v>
      </c>
      <c r="E257" t="s">
        <v>1082</v>
      </c>
      <c r="F257">
        <v>95</v>
      </c>
      <c r="G257">
        <v>29</v>
      </c>
      <c r="H257">
        <v>28</v>
      </c>
      <c r="I257" s="1">
        <v>4</v>
      </c>
      <c r="J257" s="2">
        <v>45493</v>
      </c>
      <c r="K257" s="2">
        <v>45673</v>
      </c>
      <c r="L257" s="2">
        <v>45432</v>
      </c>
      <c r="M257" t="s">
        <v>1083</v>
      </c>
      <c r="N257">
        <v>52</v>
      </c>
      <c r="O257">
        <v>46</v>
      </c>
      <c r="P257" t="s">
        <v>26</v>
      </c>
      <c r="Q257" t="str">
        <f t="shared" si="15"/>
        <v>Expiry before Received</v>
      </c>
      <c r="R257" s="3">
        <f t="shared" si="13"/>
        <v>380</v>
      </c>
      <c r="S257">
        <f t="shared" si="12"/>
        <v>0</v>
      </c>
      <c r="T257" t="str">
        <f t="shared" si="14"/>
        <v>Sufficient Stock</v>
      </c>
    </row>
    <row r="258" spans="1:20" x14ac:dyDescent="0.3">
      <c r="A258" t="s">
        <v>1084</v>
      </c>
      <c r="B258" t="s">
        <v>21</v>
      </c>
      <c r="C258" t="s">
        <v>22</v>
      </c>
      <c r="D258" t="s">
        <v>1085</v>
      </c>
      <c r="E258" t="s">
        <v>1086</v>
      </c>
      <c r="F258">
        <v>84</v>
      </c>
      <c r="G258">
        <v>69</v>
      </c>
      <c r="H258">
        <v>77</v>
      </c>
      <c r="I258" s="1">
        <v>4.5</v>
      </c>
      <c r="J258" s="2">
        <v>45679</v>
      </c>
      <c r="K258" s="2">
        <v>45654</v>
      </c>
      <c r="L258" s="2">
        <v>45444</v>
      </c>
      <c r="M258" t="s">
        <v>1087</v>
      </c>
      <c r="N258">
        <v>39</v>
      </c>
      <c r="O258">
        <v>69</v>
      </c>
      <c r="P258" t="s">
        <v>38</v>
      </c>
      <c r="Q258" t="str">
        <f t="shared" si="15"/>
        <v>Expiry before Received</v>
      </c>
      <c r="R258" s="3">
        <f t="shared" si="13"/>
        <v>378</v>
      </c>
      <c r="S258">
        <f t="shared" ref="S258:S321" si="16">MAX(0,G258-F258)</f>
        <v>0</v>
      </c>
      <c r="T258" t="str">
        <f t="shared" si="14"/>
        <v>Sufficient Stock</v>
      </c>
    </row>
    <row r="259" spans="1:20" x14ac:dyDescent="0.3">
      <c r="A259" t="s">
        <v>1088</v>
      </c>
      <c r="B259" t="s">
        <v>472</v>
      </c>
      <c r="C259" t="s">
        <v>22</v>
      </c>
      <c r="D259" t="s">
        <v>1089</v>
      </c>
      <c r="E259" t="s">
        <v>460</v>
      </c>
      <c r="F259">
        <v>31</v>
      </c>
      <c r="G259">
        <v>32</v>
      </c>
      <c r="H259">
        <v>69</v>
      </c>
      <c r="I259" s="1">
        <v>2</v>
      </c>
      <c r="J259" s="2">
        <v>45351</v>
      </c>
      <c r="K259" s="2">
        <v>45447</v>
      </c>
      <c r="L259" s="2">
        <v>45617</v>
      </c>
      <c r="M259" t="s">
        <v>1090</v>
      </c>
      <c r="N259">
        <v>38</v>
      </c>
      <c r="O259">
        <v>23</v>
      </c>
      <c r="P259" t="s">
        <v>44</v>
      </c>
      <c r="Q259" t="str">
        <f t="shared" si="15"/>
        <v>OK</v>
      </c>
      <c r="R259" s="3">
        <f t="shared" ref="R259:R322" si="17">F259*I259</f>
        <v>62</v>
      </c>
      <c r="S259">
        <f t="shared" si="16"/>
        <v>1</v>
      </c>
      <c r="T259" t="str">
        <f t="shared" ref="T259:T322" si="18">IF(F259&lt;G259,"Reorder Required","Sufficient Stock")</f>
        <v>Reorder Required</v>
      </c>
    </row>
    <row r="260" spans="1:20" x14ac:dyDescent="0.3">
      <c r="A260" t="s">
        <v>1091</v>
      </c>
      <c r="B260" t="s">
        <v>171</v>
      </c>
      <c r="C260" t="s">
        <v>47</v>
      </c>
      <c r="D260" t="s">
        <v>1092</v>
      </c>
      <c r="E260" t="s">
        <v>1093</v>
      </c>
      <c r="F260">
        <v>41</v>
      </c>
      <c r="G260">
        <v>52</v>
      </c>
      <c r="H260">
        <v>75</v>
      </c>
      <c r="I260" s="1">
        <v>4.5</v>
      </c>
      <c r="J260" s="2">
        <v>45388</v>
      </c>
      <c r="K260" s="2">
        <v>45406</v>
      </c>
      <c r="L260" s="2">
        <v>45578</v>
      </c>
      <c r="M260" t="s">
        <v>1094</v>
      </c>
      <c r="N260">
        <v>57</v>
      </c>
      <c r="O260">
        <v>62</v>
      </c>
      <c r="P260" t="s">
        <v>38</v>
      </c>
      <c r="Q260" t="str">
        <f t="shared" si="15"/>
        <v>OK</v>
      </c>
      <c r="R260" s="3">
        <f t="shared" si="17"/>
        <v>184.5</v>
      </c>
      <c r="S260">
        <f t="shared" si="16"/>
        <v>11</v>
      </c>
      <c r="T260" t="str">
        <f t="shared" si="18"/>
        <v>Reorder Required</v>
      </c>
    </row>
    <row r="261" spans="1:20" x14ac:dyDescent="0.3">
      <c r="A261" t="s">
        <v>1095</v>
      </c>
      <c r="B261" t="s">
        <v>103</v>
      </c>
      <c r="C261" t="s">
        <v>64</v>
      </c>
      <c r="D261" t="s">
        <v>1096</v>
      </c>
      <c r="E261" t="s">
        <v>313</v>
      </c>
      <c r="F261">
        <v>97</v>
      </c>
      <c r="G261">
        <v>57</v>
      </c>
      <c r="H261">
        <v>84</v>
      </c>
      <c r="I261" s="1">
        <v>7</v>
      </c>
      <c r="J261" s="2">
        <v>45562</v>
      </c>
      <c r="K261" s="2">
        <v>45533</v>
      </c>
      <c r="L261" s="2">
        <v>45694</v>
      </c>
      <c r="M261" t="s">
        <v>1097</v>
      </c>
      <c r="N261">
        <v>95</v>
      </c>
      <c r="O261">
        <v>28</v>
      </c>
      <c r="P261" t="s">
        <v>44</v>
      </c>
      <c r="Q261" t="str">
        <f t="shared" si="15"/>
        <v>Last Order before Received</v>
      </c>
      <c r="R261" s="3">
        <f t="shared" si="17"/>
        <v>679</v>
      </c>
      <c r="S261">
        <f t="shared" si="16"/>
        <v>0</v>
      </c>
      <c r="T261" t="str">
        <f t="shared" si="18"/>
        <v>Sufficient Stock</v>
      </c>
    </row>
    <row r="262" spans="1:20" x14ac:dyDescent="0.3">
      <c r="A262" t="s">
        <v>1098</v>
      </c>
      <c r="B262" t="s">
        <v>1099</v>
      </c>
      <c r="C262" t="s">
        <v>64</v>
      </c>
      <c r="D262" t="s">
        <v>1100</v>
      </c>
      <c r="E262" t="s">
        <v>1101</v>
      </c>
      <c r="F262">
        <v>43</v>
      </c>
      <c r="G262">
        <v>88</v>
      </c>
      <c r="H262">
        <v>33</v>
      </c>
      <c r="I262" s="1">
        <v>1</v>
      </c>
      <c r="J262" s="2">
        <v>45492</v>
      </c>
      <c r="K262" s="2">
        <v>45691</v>
      </c>
      <c r="L262" s="2">
        <v>45649</v>
      </c>
      <c r="M262" t="s">
        <v>1102</v>
      </c>
      <c r="N262">
        <v>84</v>
      </c>
      <c r="O262">
        <v>75</v>
      </c>
      <c r="P262" t="s">
        <v>26</v>
      </c>
      <c r="Q262" t="str">
        <f t="shared" si="15"/>
        <v>OK</v>
      </c>
      <c r="R262" s="3">
        <f t="shared" si="17"/>
        <v>43</v>
      </c>
      <c r="S262">
        <f t="shared" si="16"/>
        <v>45</v>
      </c>
      <c r="T262" t="str">
        <f t="shared" si="18"/>
        <v>Reorder Required</v>
      </c>
    </row>
    <row r="263" spans="1:20" x14ac:dyDescent="0.3">
      <c r="A263" t="s">
        <v>1103</v>
      </c>
      <c r="B263" t="s">
        <v>455</v>
      </c>
      <c r="C263" t="s">
        <v>58</v>
      </c>
      <c r="D263" t="s">
        <v>1104</v>
      </c>
      <c r="E263" t="s">
        <v>80</v>
      </c>
      <c r="F263">
        <v>74</v>
      </c>
      <c r="G263">
        <v>4</v>
      </c>
      <c r="H263">
        <v>67</v>
      </c>
      <c r="I263" s="1">
        <v>1.8</v>
      </c>
      <c r="J263" s="2">
        <v>45377</v>
      </c>
      <c r="K263" s="2">
        <v>45395</v>
      </c>
      <c r="L263" s="2">
        <v>45436</v>
      </c>
      <c r="M263" t="s">
        <v>1105</v>
      </c>
      <c r="N263">
        <v>31</v>
      </c>
      <c r="O263">
        <v>34</v>
      </c>
      <c r="P263" t="s">
        <v>38</v>
      </c>
      <c r="Q263" t="str">
        <f t="shared" ref="Q263:Q326" si="19">IF(L263&lt;J263,"Expiry before Received",IF(K263&lt;J263,"Last Order before Received","OK"))</f>
        <v>OK</v>
      </c>
      <c r="R263" s="3">
        <f t="shared" si="17"/>
        <v>133.20000000000002</v>
      </c>
      <c r="S263">
        <f t="shared" si="16"/>
        <v>0</v>
      </c>
      <c r="T263" t="str">
        <f t="shared" si="18"/>
        <v>Sufficient Stock</v>
      </c>
    </row>
    <row r="264" spans="1:20" x14ac:dyDescent="0.3">
      <c r="A264" t="s">
        <v>1106</v>
      </c>
      <c r="B264" t="s">
        <v>108</v>
      </c>
      <c r="C264" t="s">
        <v>22</v>
      </c>
      <c r="D264" t="s">
        <v>1107</v>
      </c>
      <c r="E264" t="s">
        <v>1108</v>
      </c>
      <c r="F264">
        <v>70</v>
      </c>
      <c r="G264">
        <v>96</v>
      </c>
      <c r="H264">
        <v>92</v>
      </c>
      <c r="I264" s="1">
        <v>1.5</v>
      </c>
      <c r="J264" s="2">
        <v>45400</v>
      </c>
      <c r="K264" s="2">
        <v>45590</v>
      </c>
      <c r="L264" s="2">
        <v>45440</v>
      </c>
      <c r="M264" t="s">
        <v>1109</v>
      </c>
      <c r="N264">
        <v>27</v>
      </c>
      <c r="O264">
        <v>58</v>
      </c>
      <c r="P264" t="s">
        <v>38</v>
      </c>
      <c r="Q264" t="str">
        <f t="shared" si="19"/>
        <v>OK</v>
      </c>
      <c r="R264" s="3">
        <f t="shared" si="17"/>
        <v>105</v>
      </c>
      <c r="S264">
        <f t="shared" si="16"/>
        <v>26</v>
      </c>
      <c r="T264" t="str">
        <f t="shared" si="18"/>
        <v>Reorder Required</v>
      </c>
    </row>
    <row r="265" spans="1:20" x14ac:dyDescent="0.3">
      <c r="A265" t="s">
        <v>1110</v>
      </c>
      <c r="B265" t="s">
        <v>450</v>
      </c>
      <c r="C265" t="s">
        <v>64</v>
      </c>
      <c r="D265" t="s">
        <v>1111</v>
      </c>
      <c r="E265" t="s">
        <v>928</v>
      </c>
      <c r="F265">
        <v>69</v>
      </c>
      <c r="G265">
        <v>53</v>
      </c>
      <c r="H265">
        <v>32</v>
      </c>
      <c r="I265" s="1">
        <v>9.1999999999999993</v>
      </c>
      <c r="J265" s="2">
        <v>45546</v>
      </c>
      <c r="K265" s="2">
        <v>45440</v>
      </c>
      <c r="L265" s="2">
        <v>45456</v>
      </c>
      <c r="M265" t="s">
        <v>1112</v>
      </c>
      <c r="N265">
        <v>28</v>
      </c>
      <c r="O265">
        <v>56</v>
      </c>
      <c r="P265" t="s">
        <v>44</v>
      </c>
      <c r="Q265" t="str">
        <f t="shared" si="19"/>
        <v>Expiry before Received</v>
      </c>
      <c r="R265" s="3">
        <f t="shared" si="17"/>
        <v>634.79999999999995</v>
      </c>
      <c r="S265">
        <f t="shared" si="16"/>
        <v>0</v>
      </c>
      <c r="T265" t="str">
        <f t="shared" si="18"/>
        <v>Sufficient Stock</v>
      </c>
    </row>
    <row r="266" spans="1:20" x14ac:dyDescent="0.3">
      <c r="A266" t="s">
        <v>1113</v>
      </c>
      <c r="B266" t="s">
        <v>311</v>
      </c>
      <c r="C266" t="s">
        <v>47</v>
      </c>
      <c r="D266" t="s">
        <v>1114</v>
      </c>
      <c r="E266" t="s">
        <v>1115</v>
      </c>
      <c r="F266">
        <v>67</v>
      </c>
      <c r="G266">
        <v>68</v>
      </c>
      <c r="H266">
        <v>50</v>
      </c>
      <c r="I266" s="1">
        <v>1.5</v>
      </c>
      <c r="J266" s="2">
        <v>45558</v>
      </c>
      <c r="K266" s="2">
        <v>45617</v>
      </c>
      <c r="L266" s="2">
        <v>45391</v>
      </c>
      <c r="M266" t="s">
        <v>1116</v>
      </c>
      <c r="N266">
        <v>67</v>
      </c>
      <c r="O266">
        <v>82</v>
      </c>
      <c r="P266" t="s">
        <v>26</v>
      </c>
      <c r="Q266" t="str">
        <f t="shared" si="19"/>
        <v>Expiry before Received</v>
      </c>
      <c r="R266" s="3">
        <f t="shared" si="17"/>
        <v>100.5</v>
      </c>
      <c r="S266">
        <f t="shared" si="16"/>
        <v>1</v>
      </c>
      <c r="T266" t="str">
        <f t="shared" si="18"/>
        <v>Reorder Required</v>
      </c>
    </row>
    <row r="267" spans="1:20" x14ac:dyDescent="0.3">
      <c r="A267" t="s">
        <v>1117</v>
      </c>
      <c r="B267" t="s">
        <v>219</v>
      </c>
      <c r="C267" t="s">
        <v>22</v>
      </c>
      <c r="D267" t="s">
        <v>1118</v>
      </c>
      <c r="E267" t="s">
        <v>421</v>
      </c>
      <c r="F267">
        <v>18</v>
      </c>
      <c r="G267">
        <v>62</v>
      </c>
      <c r="H267">
        <v>2</v>
      </c>
      <c r="I267" s="1">
        <v>3</v>
      </c>
      <c r="J267" s="2">
        <v>45377</v>
      </c>
      <c r="K267" s="2">
        <v>45410</v>
      </c>
      <c r="L267" s="2">
        <v>45541</v>
      </c>
      <c r="M267" t="s">
        <v>1119</v>
      </c>
      <c r="N267">
        <v>61</v>
      </c>
      <c r="O267">
        <v>78</v>
      </c>
      <c r="P267" t="s">
        <v>26</v>
      </c>
      <c r="Q267" t="str">
        <f t="shared" si="19"/>
        <v>OK</v>
      </c>
      <c r="R267" s="3">
        <f t="shared" si="17"/>
        <v>54</v>
      </c>
      <c r="S267">
        <f t="shared" si="16"/>
        <v>44</v>
      </c>
      <c r="T267" t="str">
        <f t="shared" si="18"/>
        <v>Reorder Required</v>
      </c>
    </row>
    <row r="268" spans="1:20" x14ac:dyDescent="0.3">
      <c r="A268" t="s">
        <v>1120</v>
      </c>
      <c r="B268" t="s">
        <v>28</v>
      </c>
      <c r="C268" t="s">
        <v>29</v>
      </c>
      <c r="D268" t="s">
        <v>1121</v>
      </c>
      <c r="E268" t="s">
        <v>1122</v>
      </c>
      <c r="F268">
        <v>22</v>
      </c>
      <c r="G268">
        <v>89</v>
      </c>
      <c r="H268">
        <v>25</v>
      </c>
      <c r="I268" s="1">
        <v>21</v>
      </c>
      <c r="J268" s="2">
        <v>45347</v>
      </c>
      <c r="K268" s="2">
        <v>45623</v>
      </c>
      <c r="L268" s="2">
        <v>45493</v>
      </c>
      <c r="M268" t="s">
        <v>1123</v>
      </c>
      <c r="N268">
        <v>30</v>
      </c>
      <c r="O268">
        <v>62</v>
      </c>
      <c r="P268" t="s">
        <v>26</v>
      </c>
      <c r="Q268" t="str">
        <f t="shared" si="19"/>
        <v>OK</v>
      </c>
      <c r="R268" s="3">
        <f t="shared" si="17"/>
        <v>462</v>
      </c>
      <c r="S268">
        <f t="shared" si="16"/>
        <v>67</v>
      </c>
      <c r="T268" t="str">
        <f t="shared" si="18"/>
        <v>Reorder Required</v>
      </c>
    </row>
    <row r="269" spans="1:20" x14ac:dyDescent="0.3">
      <c r="A269" t="s">
        <v>1124</v>
      </c>
      <c r="B269" t="s">
        <v>1125</v>
      </c>
      <c r="C269" t="s">
        <v>47</v>
      </c>
      <c r="D269" t="s">
        <v>1126</v>
      </c>
      <c r="E269" t="s">
        <v>1127</v>
      </c>
      <c r="F269">
        <v>88</v>
      </c>
      <c r="G269">
        <v>99</v>
      </c>
      <c r="H269">
        <v>41</v>
      </c>
      <c r="I269" s="1">
        <v>5.5</v>
      </c>
      <c r="J269" s="2">
        <v>45503</v>
      </c>
      <c r="K269" s="2">
        <v>45432</v>
      </c>
      <c r="L269" s="2">
        <v>45494</v>
      </c>
      <c r="M269" t="s">
        <v>1128</v>
      </c>
      <c r="N269">
        <v>93</v>
      </c>
      <c r="O269">
        <v>99</v>
      </c>
      <c r="P269" t="s">
        <v>38</v>
      </c>
      <c r="Q269" t="str">
        <f t="shared" si="19"/>
        <v>Expiry before Received</v>
      </c>
      <c r="R269" s="3">
        <f t="shared" si="17"/>
        <v>484</v>
      </c>
      <c r="S269">
        <f t="shared" si="16"/>
        <v>11</v>
      </c>
      <c r="T269" t="str">
        <f t="shared" si="18"/>
        <v>Reorder Required</v>
      </c>
    </row>
    <row r="270" spans="1:20" x14ac:dyDescent="0.3">
      <c r="A270" t="s">
        <v>1129</v>
      </c>
      <c r="B270" t="s">
        <v>508</v>
      </c>
      <c r="C270" t="s">
        <v>132</v>
      </c>
      <c r="D270" t="s">
        <v>1130</v>
      </c>
      <c r="E270" t="s">
        <v>1131</v>
      </c>
      <c r="F270">
        <v>78</v>
      </c>
      <c r="G270">
        <v>75</v>
      </c>
      <c r="H270">
        <v>3</v>
      </c>
      <c r="I270" s="1">
        <v>7</v>
      </c>
      <c r="J270" s="2">
        <v>45512</v>
      </c>
      <c r="K270" s="2">
        <v>45644</v>
      </c>
      <c r="L270" s="2">
        <v>45478</v>
      </c>
      <c r="M270" t="s">
        <v>1132</v>
      </c>
      <c r="N270">
        <v>63</v>
      </c>
      <c r="O270">
        <v>100</v>
      </c>
      <c r="P270" t="s">
        <v>44</v>
      </c>
      <c r="Q270" t="str">
        <f t="shared" si="19"/>
        <v>Expiry before Received</v>
      </c>
      <c r="R270" s="3">
        <f t="shared" si="17"/>
        <v>546</v>
      </c>
      <c r="S270">
        <f t="shared" si="16"/>
        <v>0</v>
      </c>
      <c r="T270" t="str">
        <f t="shared" si="18"/>
        <v>Sufficient Stock</v>
      </c>
    </row>
    <row r="271" spans="1:20" x14ac:dyDescent="0.3">
      <c r="A271" t="s">
        <v>1133</v>
      </c>
      <c r="B271" t="s">
        <v>186</v>
      </c>
      <c r="C271" t="s">
        <v>58</v>
      </c>
      <c r="D271" t="s">
        <v>1134</v>
      </c>
      <c r="E271" t="s">
        <v>1135</v>
      </c>
      <c r="F271">
        <v>83</v>
      </c>
      <c r="G271">
        <v>52</v>
      </c>
      <c r="H271">
        <v>32</v>
      </c>
      <c r="I271" s="1">
        <v>6</v>
      </c>
      <c r="J271" s="2">
        <v>45582</v>
      </c>
      <c r="K271" s="2">
        <v>45530</v>
      </c>
      <c r="L271" s="2">
        <v>45372</v>
      </c>
      <c r="M271" t="s">
        <v>1136</v>
      </c>
      <c r="N271">
        <v>47</v>
      </c>
      <c r="O271">
        <v>7</v>
      </c>
      <c r="P271" t="s">
        <v>44</v>
      </c>
      <c r="Q271" t="str">
        <f t="shared" si="19"/>
        <v>Expiry before Received</v>
      </c>
      <c r="R271" s="3">
        <f t="shared" si="17"/>
        <v>498</v>
      </c>
      <c r="S271">
        <f t="shared" si="16"/>
        <v>0</v>
      </c>
      <c r="T271" t="str">
        <f t="shared" si="18"/>
        <v>Sufficient Stock</v>
      </c>
    </row>
    <row r="272" spans="1:20" x14ac:dyDescent="0.3">
      <c r="A272" t="s">
        <v>1137</v>
      </c>
      <c r="B272" t="s">
        <v>775</v>
      </c>
      <c r="C272" t="s">
        <v>29</v>
      </c>
      <c r="D272" t="s">
        <v>1138</v>
      </c>
      <c r="E272" t="s">
        <v>1139</v>
      </c>
      <c r="F272">
        <v>42</v>
      </c>
      <c r="G272">
        <v>88</v>
      </c>
      <c r="H272">
        <v>17</v>
      </c>
      <c r="I272" s="1">
        <v>10.5</v>
      </c>
      <c r="J272" s="2">
        <v>45584</v>
      </c>
      <c r="K272" s="2">
        <v>45632</v>
      </c>
      <c r="L272" s="2">
        <v>45467</v>
      </c>
      <c r="M272" t="s">
        <v>1140</v>
      </c>
      <c r="N272">
        <v>34</v>
      </c>
      <c r="O272">
        <v>51</v>
      </c>
      <c r="P272" t="s">
        <v>26</v>
      </c>
      <c r="Q272" t="str">
        <f t="shared" si="19"/>
        <v>Expiry before Received</v>
      </c>
      <c r="R272" s="3">
        <f t="shared" si="17"/>
        <v>441</v>
      </c>
      <c r="S272">
        <f t="shared" si="16"/>
        <v>46</v>
      </c>
      <c r="T272" t="str">
        <f t="shared" si="18"/>
        <v>Reorder Required</v>
      </c>
    </row>
    <row r="273" spans="1:20" x14ac:dyDescent="0.3">
      <c r="A273" t="s">
        <v>1141</v>
      </c>
      <c r="B273" t="s">
        <v>402</v>
      </c>
      <c r="C273" t="s">
        <v>47</v>
      </c>
      <c r="D273" t="s">
        <v>1142</v>
      </c>
      <c r="E273" t="s">
        <v>262</v>
      </c>
      <c r="F273">
        <v>49</v>
      </c>
      <c r="G273">
        <v>46</v>
      </c>
      <c r="H273">
        <v>8</v>
      </c>
      <c r="I273" s="1">
        <v>3</v>
      </c>
      <c r="J273" s="2">
        <v>45587</v>
      </c>
      <c r="K273" s="2">
        <v>45382</v>
      </c>
      <c r="L273" s="2">
        <v>45636</v>
      </c>
      <c r="M273" t="s">
        <v>1143</v>
      </c>
      <c r="N273">
        <v>82</v>
      </c>
      <c r="O273">
        <v>21</v>
      </c>
      <c r="P273" t="s">
        <v>26</v>
      </c>
      <c r="Q273" t="str">
        <f t="shared" si="19"/>
        <v>Last Order before Received</v>
      </c>
      <c r="R273" s="3">
        <f t="shared" si="17"/>
        <v>147</v>
      </c>
      <c r="S273">
        <f t="shared" si="16"/>
        <v>0</v>
      </c>
      <c r="T273" t="str">
        <f t="shared" si="18"/>
        <v>Sufficient Stock</v>
      </c>
    </row>
    <row r="274" spans="1:20" x14ac:dyDescent="0.3">
      <c r="A274" t="s">
        <v>1144</v>
      </c>
      <c r="B274" t="s">
        <v>1145</v>
      </c>
      <c r="C274" t="s">
        <v>22</v>
      </c>
      <c r="D274" t="s">
        <v>1146</v>
      </c>
      <c r="E274" t="s">
        <v>409</v>
      </c>
      <c r="F274">
        <v>17</v>
      </c>
      <c r="G274">
        <v>88</v>
      </c>
      <c r="H274">
        <v>41</v>
      </c>
      <c r="I274" s="1">
        <v>2.5</v>
      </c>
      <c r="J274" s="2">
        <v>45586</v>
      </c>
      <c r="K274" s="2">
        <v>45707</v>
      </c>
      <c r="L274" s="2">
        <v>45675</v>
      </c>
      <c r="M274" t="s">
        <v>1147</v>
      </c>
      <c r="N274">
        <v>45</v>
      </c>
      <c r="O274">
        <v>29</v>
      </c>
      <c r="P274" t="s">
        <v>38</v>
      </c>
      <c r="Q274" t="str">
        <f t="shared" si="19"/>
        <v>OK</v>
      </c>
      <c r="R274" s="3">
        <f t="shared" si="17"/>
        <v>42.5</v>
      </c>
      <c r="S274">
        <f t="shared" si="16"/>
        <v>71</v>
      </c>
      <c r="T274" t="str">
        <f t="shared" si="18"/>
        <v>Reorder Required</v>
      </c>
    </row>
    <row r="275" spans="1:20" x14ac:dyDescent="0.3">
      <c r="A275" t="s">
        <v>1148</v>
      </c>
      <c r="B275" t="s">
        <v>629</v>
      </c>
      <c r="C275" t="s">
        <v>64</v>
      </c>
      <c r="D275" t="s">
        <v>1149</v>
      </c>
      <c r="E275" t="s">
        <v>1150</v>
      </c>
      <c r="F275">
        <v>52</v>
      </c>
      <c r="G275">
        <v>64</v>
      </c>
      <c r="H275">
        <v>54</v>
      </c>
      <c r="I275" s="1">
        <v>2.4</v>
      </c>
      <c r="J275" s="2">
        <v>45618</v>
      </c>
      <c r="K275" s="2">
        <v>45544</v>
      </c>
      <c r="L275" s="2">
        <v>45588</v>
      </c>
      <c r="M275" t="s">
        <v>1151</v>
      </c>
      <c r="N275">
        <v>21</v>
      </c>
      <c r="O275">
        <v>55</v>
      </c>
      <c r="P275" t="s">
        <v>38</v>
      </c>
      <c r="Q275" t="str">
        <f t="shared" si="19"/>
        <v>Expiry before Received</v>
      </c>
      <c r="R275" s="3">
        <f t="shared" si="17"/>
        <v>124.8</v>
      </c>
      <c r="S275">
        <f t="shared" si="16"/>
        <v>12</v>
      </c>
      <c r="T275" t="str">
        <f t="shared" si="18"/>
        <v>Reorder Required</v>
      </c>
    </row>
    <row r="276" spans="1:20" x14ac:dyDescent="0.3">
      <c r="A276" t="s">
        <v>1152</v>
      </c>
      <c r="B276" t="s">
        <v>162</v>
      </c>
      <c r="C276" t="s">
        <v>47</v>
      </c>
      <c r="D276" t="s">
        <v>1153</v>
      </c>
      <c r="E276" t="s">
        <v>1139</v>
      </c>
      <c r="F276">
        <v>79</v>
      </c>
      <c r="G276">
        <v>45</v>
      </c>
      <c r="H276">
        <v>39</v>
      </c>
      <c r="I276" s="1">
        <v>6</v>
      </c>
      <c r="J276" s="2">
        <v>45594</v>
      </c>
      <c r="K276" s="2">
        <v>45603</v>
      </c>
      <c r="L276" s="2">
        <v>45423</v>
      </c>
      <c r="M276" t="s">
        <v>1154</v>
      </c>
      <c r="N276">
        <v>55</v>
      </c>
      <c r="O276">
        <v>20</v>
      </c>
      <c r="P276" t="s">
        <v>38</v>
      </c>
      <c r="Q276" t="str">
        <f t="shared" si="19"/>
        <v>Expiry before Received</v>
      </c>
      <c r="R276" s="3">
        <f t="shared" si="17"/>
        <v>474</v>
      </c>
      <c r="S276">
        <f t="shared" si="16"/>
        <v>0</v>
      </c>
      <c r="T276" t="str">
        <f t="shared" si="18"/>
        <v>Sufficient Stock</v>
      </c>
    </row>
    <row r="277" spans="1:20" x14ac:dyDescent="0.3">
      <c r="A277" t="s">
        <v>1155</v>
      </c>
      <c r="B277" t="s">
        <v>455</v>
      </c>
      <c r="C277" t="s">
        <v>58</v>
      </c>
      <c r="D277" t="s">
        <v>1156</v>
      </c>
      <c r="E277" t="s">
        <v>669</v>
      </c>
      <c r="F277">
        <v>35</v>
      </c>
      <c r="G277">
        <v>41</v>
      </c>
      <c r="H277">
        <v>84</v>
      </c>
      <c r="I277" s="1">
        <v>1.8</v>
      </c>
      <c r="J277" s="2">
        <v>45521</v>
      </c>
      <c r="K277" s="2">
        <v>45501</v>
      </c>
      <c r="L277" s="2">
        <v>45619</v>
      </c>
      <c r="M277" t="s">
        <v>1157</v>
      </c>
      <c r="N277">
        <v>62</v>
      </c>
      <c r="O277">
        <v>14</v>
      </c>
      <c r="P277" t="s">
        <v>38</v>
      </c>
      <c r="Q277" t="str">
        <f t="shared" si="19"/>
        <v>Last Order before Received</v>
      </c>
      <c r="R277" s="3">
        <f t="shared" si="17"/>
        <v>63</v>
      </c>
      <c r="S277">
        <f t="shared" si="16"/>
        <v>6</v>
      </c>
      <c r="T277" t="str">
        <f t="shared" si="18"/>
        <v>Reorder Required</v>
      </c>
    </row>
    <row r="278" spans="1:20" x14ac:dyDescent="0.3">
      <c r="A278" t="s">
        <v>1158</v>
      </c>
      <c r="B278" t="s">
        <v>176</v>
      </c>
      <c r="C278" t="s">
        <v>47</v>
      </c>
      <c r="D278" t="s">
        <v>1159</v>
      </c>
      <c r="E278" t="s">
        <v>1160</v>
      </c>
      <c r="F278">
        <v>76</v>
      </c>
      <c r="G278">
        <v>11</v>
      </c>
      <c r="H278">
        <v>15</v>
      </c>
      <c r="I278" s="1">
        <v>1.8</v>
      </c>
      <c r="J278" s="2">
        <v>45585</v>
      </c>
      <c r="K278" s="2">
        <v>45437</v>
      </c>
      <c r="L278" s="2">
        <v>45552</v>
      </c>
      <c r="M278" t="s">
        <v>1161</v>
      </c>
      <c r="N278">
        <v>22</v>
      </c>
      <c r="O278">
        <v>91</v>
      </c>
      <c r="P278" t="s">
        <v>44</v>
      </c>
      <c r="Q278" t="str">
        <f t="shared" si="19"/>
        <v>Expiry before Received</v>
      </c>
      <c r="R278" s="3">
        <f t="shared" si="17"/>
        <v>136.80000000000001</v>
      </c>
      <c r="S278">
        <f t="shared" si="16"/>
        <v>0</v>
      </c>
      <c r="T278" t="str">
        <f t="shared" si="18"/>
        <v>Sufficient Stock</v>
      </c>
    </row>
    <row r="279" spans="1:20" x14ac:dyDescent="0.3">
      <c r="A279" t="s">
        <v>1162</v>
      </c>
      <c r="B279" t="s">
        <v>113</v>
      </c>
      <c r="C279" t="s">
        <v>64</v>
      </c>
      <c r="D279" t="s">
        <v>1163</v>
      </c>
      <c r="E279" t="s">
        <v>31</v>
      </c>
      <c r="F279">
        <v>93</v>
      </c>
      <c r="G279">
        <v>8</v>
      </c>
      <c r="H279">
        <v>51</v>
      </c>
      <c r="I279" s="1">
        <v>8</v>
      </c>
      <c r="J279" s="2">
        <v>45350</v>
      </c>
      <c r="K279" s="2">
        <v>45427</v>
      </c>
      <c r="L279" s="2">
        <v>45692</v>
      </c>
      <c r="M279" t="s">
        <v>1164</v>
      </c>
      <c r="N279">
        <v>93</v>
      </c>
      <c r="O279">
        <v>85</v>
      </c>
      <c r="P279" t="s">
        <v>38</v>
      </c>
      <c r="Q279" t="str">
        <f t="shared" si="19"/>
        <v>OK</v>
      </c>
      <c r="R279" s="3">
        <f t="shared" si="17"/>
        <v>744</v>
      </c>
      <c r="S279">
        <f t="shared" si="16"/>
        <v>0</v>
      </c>
      <c r="T279" t="str">
        <f t="shared" si="18"/>
        <v>Sufficient Stock</v>
      </c>
    </row>
    <row r="280" spans="1:20" x14ac:dyDescent="0.3">
      <c r="A280" t="s">
        <v>1165</v>
      </c>
      <c r="B280" t="s">
        <v>1166</v>
      </c>
      <c r="C280" t="s">
        <v>132</v>
      </c>
      <c r="D280" t="s">
        <v>1167</v>
      </c>
      <c r="E280" t="s">
        <v>802</v>
      </c>
      <c r="F280">
        <v>40</v>
      </c>
      <c r="G280">
        <v>81</v>
      </c>
      <c r="H280">
        <v>78</v>
      </c>
      <c r="I280" s="1">
        <v>20</v>
      </c>
      <c r="J280" s="2">
        <v>45705</v>
      </c>
      <c r="K280" s="2">
        <v>45489</v>
      </c>
      <c r="L280" s="2">
        <v>45355</v>
      </c>
      <c r="M280" t="s">
        <v>1168</v>
      </c>
      <c r="N280">
        <v>39</v>
      </c>
      <c r="O280">
        <v>65</v>
      </c>
      <c r="P280" t="s">
        <v>38</v>
      </c>
      <c r="Q280" t="str">
        <f t="shared" si="19"/>
        <v>Expiry before Received</v>
      </c>
      <c r="R280" s="3">
        <f t="shared" si="17"/>
        <v>800</v>
      </c>
      <c r="S280">
        <f t="shared" si="16"/>
        <v>41</v>
      </c>
      <c r="T280" t="str">
        <f t="shared" si="18"/>
        <v>Reorder Required</v>
      </c>
    </row>
    <row r="281" spans="1:20" x14ac:dyDescent="0.3">
      <c r="A281" t="s">
        <v>1169</v>
      </c>
      <c r="B281" t="s">
        <v>131</v>
      </c>
      <c r="C281" t="s">
        <v>132</v>
      </c>
      <c r="D281" t="s">
        <v>1170</v>
      </c>
      <c r="E281" t="s">
        <v>211</v>
      </c>
      <c r="F281">
        <v>19</v>
      </c>
      <c r="G281">
        <v>94</v>
      </c>
      <c r="H281">
        <v>17</v>
      </c>
      <c r="I281" s="1">
        <v>11.5</v>
      </c>
      <c r="J281" s="2">
        <v>45526</v>
      </c>
      <c r="K281" s="2">
        <v>45451</v>
      </c>
      <c r="L281" s="2">
        <v>45457</v>
      </c>
      <c r="M281" t="s">
        <v>1171</v>
      </c>
      <c r="N281">
        <v>96</v>
      </c>
      <c r="O281">
        <v>74</v>
      </c>
      <c r="P281" t="s">
        <v>26</v>
      </c>
      <c r="Q281" t="str">
        <f t="shared" si="19"/>
        <v>Expiry before Received</v>
      </c>
      <c r="R281" s="3">
        <f t="shared" si="17"/>
        <v>218.5</v>
      </c>
      <c r="S281">
        <f t="shared" si="16"/>
        <v>75</v>
      </c>
      <c r="T281" t="str">
        <f t="shared" si="18"/>
        <v>Reorder Required</v>
      </c>
    </row>
    <row r="282" spans="1:20" x14ac:dyDescent="0.3">
      <c r="A282" t="s">
        <v>1172</v>
      </c>
      <c r="B282" t="s">
        <v>710</v>
      </c>
      <c r="C282" t="s">
        <v>58</v>
      </c>
      <c r="D282" t="s">
        <v>1173</v>
      </c>
      <c r="E282" t="s">
        <v>1174</v>
      </c>
      <c r="F282">
        <v>70</v>
      </c>
      <c r="G282">
        <v>96</v>
      </c>
      <c r="H282">
        <v>21</v>
      </c>
      <c r="I282" s="1">
        <v>2</v>
      </c>
      <c r="J282" s="2">
        <v>45622</v>
      </c>
      <c r="K282" s="2">
        <v>45545</v>
      </c>
      <c r="L282" s="2">
        <v>45507</v>
      </c>
      <c r="M282" t="s">
        <v>1175</v>
      </c>
      <c r="N282">
        <v>100</v>
      </c>
      <c r="O282">
        <v>15</v>
      </c>
      <c r="P282" t="s">
        <v>26</v>
      </c>
      <c r="Q282" t="str">
        <f t="shared" si="19"/>
        <v>Expiry before Received</v>
      </c>
      <c r="R282" s="3">
        <f t="shared" si="17"/>
        <v>140</v>
      </c>
      <c r="S282">
        <f t="shared" si="16"/>
        <v>26</v>
      </c>
      <c r="T282" t="str">
        <f t="shared" si="18"/>
        <v>Reorder Required</v>
      </c>
    </row>
    <row r="283" spans="1:20" x14ac:dyDescent="0.3">
      <c r="A283" t="s">
        <v>1176</v>
      </c>
      <c r="B283" t="s">
        <v>983</v>
      </c>
      <c r="C283" t="s">
        <v>89</v>
      </c>
      <c r="D283" t="s">
        <v>1177</v>
      </c>
      <c r="E283" t="s">
        <v>1178</v>
      </c>
      <c r="F283">
        <v>90</v>
      </c>
      <c r="G283">
        <v>52</v>
      </c>
      <c r="H283">
        <v>50</v>
      </c>
      <c r="I283" s="1">
        <v>4</v>
      </c>
      <c r="J283" s="2">
        <v>45472</v>
      </c>
      <c r="K283" s="2">
        <v>45397</v>
      </c>
      <c r="L283" s="2">
        <v>45419</v>
      </c>
      <c r="M283" t="s">
        <v>1179</v>
      </c>
      <c r="N283">
        <v>63</v>
      </c>
      <c r="O283">
        <v>14</v>
      </c>
      <c r="P283" t="s">
        <v>26</v>
      </c>
      <c r="Q283" t="str">
        <f t="shared" si="19"/>
        <v>Expiry before Received</v>
      </c>
      <c r="R283" s="3">
        <f t="shared" si="17"/>
        <v>360</v>
      </c>
      <c r="S283">
        <f t="shared" si="16"/>
        <v>0</v>
      </c>
      <c r="T283" t="str">
        <f t="shared" si="18"/>
        <v>Sufficient Stock</v>
      </c>
    </row>
    <row r="284" spans="1:20" x14ac:dyDescent="0.3">
      <c r="A284" t="s">
        <v>1180</v>
      </c>
      <c r="B284" t="s">
        <v>983</v>
      </c>
      <c r="C284" t="s">
        <v>89</v>
      </c>
      <c r="D284" t="s">
        <v>1181</v>
      </c>
      <c r="E284" t="s">
        <v>128</v>
      </c>
      <c r="F284">
        <v>77</v>
      </c>
      <c r="G284">
        <v>79</v>
      </c>
      <c r="H284">
        <v>65</v>
      </c>
      <c r="I284" s="1">
        <v>4</v>
      </c>
      <c r="J284" s="2">
        <v>45536</v>
      </c>
      <c r="K284" s="2">
        <v>45368</v>
      </c>
      <c r="L284" s="2">
        <v>45504</v>
      </c>
      <c r="M284" t="s">
        <v>1182</v>
      </c>
      <c r="N284">
        <v>62</v>
      </c>
      <c r="O284">
        <v>75</v>
      </c>
      <c r="P284" t="s">
        <v>38</v>
      </c>
      <c r="Q284" t="str">
        <f t="shared" si="19"/>
        <v>Expiry before Received</v>
      </c>
      <c r="R284" s="3">
        <f t="shared" si="17"/>
        <v>308</v>
      </c>
      <c r="S284">
        <f t="shared" si="16"/>
        <v>2</v>
      </c>
      <c r="T284" t="str">
        <f t="shared" si="18"/>
        <v>Reorder Required</v>
      </c>
    </row>
    <row r="285" spans="1:20" x14ac:dyDescent="0.3">
      <c r="A285" t="s">
        <v>1183</v>
      </c>
      <c r="B285" t="s">
        <v>1184</v>
      </c>
      <c r="C285" t="s">
        <v>47</v>
      </c>
      <c r="D285" t="s">
        <v>1185</v>
      </c>
      <c r="E285" t="s">
        <v>1115</v>
      </c>
      <c r="F285">
        <v>38</v>
      </c>
      <c r="G285">
        <v>22</v>
      </c>
      <c r="H285">
        <v>71</v>
      </c>
      <c r="I285" s="1">
        <v>5</v>
      </c>
      <c r="J285" s="2">
        <v>45572</v>
      </c>
      <c r="K285" s="2">
        <v>45428</v>
      </c>
      <c r="L285" s="2">
        <v>45420</v>
      </c>
      <c r="M285" t="s">
        <v>1186</v>
      </c>
      <c r="N285">
        <v>33</v>
      </c>
      <c r="O285">
        <v>62</v>
      </c>
      <c r="P285" t="s">
        <v>44</v>
      </c>
      <c r="Q285" t="str">
        <f t="shared" si="19"/>
        <v>Expiry before Received</v>
      </c>
      <c r="R285" s="3">
        <f t="shared" si="17"/>
        <v>190</v>
      </c>
      <c r="S285">
        <f t="shared" si="16"/>
        <v>0</v>
      </c>
      <c r="T285" t="str">
        <f t="shared" si="18"/>
        <v>Sufficient Stock</v>
      </c>
    </row>
    <row r="286" spans="1:20" x14ac:dyDescent="0.3">
      <c r="A286" t="s">
        <v>1187</v>
      </c>
      <c r="B286" t="s">
        <v>508</v>
      </c>
      <c r="C286" t="s">
        <v>132</v>
      </c>
      <c r="D286" t="s">
        <v>1188</v>
      </c>
      <c r="E286" t="s">
        <v>1189</v>
      </c>
      <c r="F286">
        <v>93</v>
      </c>
      <c r="G286">
        <v>25</v>
      </c>
      <c r="H286">
        <v>23</v>
      </c>
      <c r="I286" s="1">
        <v>7</v>
      </c>
      <c r="J286" s="2">
        <v>45464</v>
      </c>
      <c r="K286" s="2">
        <v>45521</v>
      </c>
      <c r="L286" s="2">
        <v>45411</v>
      </c>
      <c r="M286" t="s">
        <v>1190</v>
      </c>
      <c r="N286">
        <v>72</v>
      </c>
      <c r="O286">
        <v>83</v>
      </c>
      <c r="P286" t="s">
        <v>38</v>
      </c>
      <c r="Q286" t="str">
        <f t="shared" si="19"/>
        <v>Expiry before Received</v>
      </c>
      <c r="R286" s="3">
        <f t="shared" si="17"/>
        <v>651</v>
      </c>
      <c r="S286">
        <f t="shared" si="16"/>
        <v>0</v>
      </c>
      <c r="T286" t="str">
        <f t="shared" si="18"/>
        <v>Sufficient Stock</v>
      </c>
    </row>
    <row r="287" spans="1:20" x14ac:dyDescent="0.3">
      <c r="A287" t="s">
        <v>1191</v>
      </c>
      <c r="B287" t="s">
        <v>1192</v>
      </c>
      <c r="C287" t="s">
        <v>64</v>
      </c>
      <c r="D287" t="s">
        <v>1193</v>
      </c>
      <c r="E287" t="s">
        <v>1194</v>
      </c>
      <c r="F287">
        <v>23</v>
      </c>
      <c r="G287">
        <v>100</v>
      </c>
      <c r="H287">
        <v>77</v>
      </c>
      <c r="I287" s="1">
        <v>2</v>
      </c>
      <c r="J287" s="2">
        <v>45422</v>
      </c>
      <c r="K287" s="2">
        <v>45514</v>
      </c>
      <c r="L287" s="2">
        <v>45355</v>
      </c>
      <c r="M287" t="s">
        <v>1195</v>
      </c>
      <c r="N287">
        <v>63</v>
      </c>
      <c r="O287">
        <v>26</v>
      </c>
      <c r="P287" t="s">
        <v>26</v>
      </c>
      <c r="Q287" t="str">
        <f t="shared" si="19"/>
        <v>Expiry before Received</v>
      </c>
      <c r="R287" s="3">
        <f t="shared" si="17"/>
        <v>46</v>
      </c>
      <c r="S287">
        <f t="shared" si="16"/>
        <v>77</v>
      </c>
      <c r="T287" t="str">
        <f t="shared" si="18"/>
        <v>Reorder Required</v>
      </c>
    </row>
    <row r="288" spans="1:20" x14ac:dyDescent="0.3">
      <c r="A288" t="s">
        <v>1196</v>
      </c>
      <c r="B288" t="s">
        <v>672</v>
      </c>
      <c r="C288" t="s">
        <v>29</v>
      </c>
      <c r="D288" t="s">
        <v>1197</v>
      </c>
      <c r="E288" t="s">
        <v>1198</v>
      </c>
      <c r="F288">
        <v>51</v>
      </c>
      <c r="G288">
        <v>1</v>
      </c>
      <c r="H288">
        <v>61</v>
      </c>
      <c r="I288" s="1">
        <v>7.6</v>
      </c>
      <c r="J288" s="2">
        <v>45380</v>
      </c>
      <c r="K288" s="2">
        <v>45461</v>
      </c>
      <c r="L288" s="2">
        <v>45613</v>
      </c>
      <c r="M288" t="s">
        <v>1199</v>
      </c>
      <c r="N288">
        <v>96</v>
      </c>
      <c r="O288">
        <v>26</v>
      </c>
      <c r="P288" t="s">
        <v>44</v>
      </c>
      <c r="Q288" t="str">
        <f t="shared" si="19"/>
        <v>OK</v>
      </c>
      <c r="R288" s="3">
        <f t="shared" si="17"/>
        <v>387.59999999999997</v>
      </c>
      <c r="S288">
        <f t="shared" si="16"/>
        <v>0</v>
      </c>
      <c r="T288" t="str">
        <f t="shared" si="18"/>
        <v>Sufficient Stock</v>
      </c>
    </row>
    <row r="289" spans="1:20" x14ac:dyDescent="0.3">
      <c r="A289" t="s">
        <v>1200</v>
      </c>
      <c r="B289" t="s">
        <v>363</v>
      </c>
      <c r="C289" t="s">
        <v>64</v>
      </c>
      <c r="D289" t="s">
        <v>1201</v>
      </c>
      <c r="E289" t="s">
        <v>1202</v>
      </c>
      <c r="F289">
        <v>57</v>
      </c>
      <c r="G289">
        <v>62</v>
      </c>
      <c r="H289">
        <v>72</v>
      </c>
      <c r="I289" s="1">
        <v>4</v>
      </c>
      <c r="J289" s="2">
        <v>45709</v>
      </c>
      <c r="K289" s="2">
        <v>45560</v>
      </c>
      <c r="L289" s="2">
        <v>45514</v>
      </c>
      <c r="M289" t="s">
        <v>1203</v>
      </c>
      <c r="N289">
        <v>23</v>
      </c>
      <c r="O289">
        <v>4</v>
      </c>
      <c r="P289" t="s">
        <v>38</v>
      </c>
      <c r="Q289" t="str">
        <f t="shared" si="19"/>
        <v>Expiry before Received</v>
      </c>
      <c r="R289" s="3">
        <f t="shared" si="17"/>
        <v>228</v>
      </c>
      <c r="S289">
        <f t="shared" si="16"/>
        <v>5</v>
      </c>
      <c r="T289" t="str">
        <f t="shared" si="18"/>
        <v>Reorder Required</v>
      </c>
    </row>
    <row r="290" spans="1:20" x14ac:dyDescent="0.3">
      <c r="A290" t="s">
        <v>1204</v>
      </c>
      <c r="B290" t="s">
        <v>1205</v>
      </c>
      <c r="C290" t="s">
        <v>47</v>
      </c>
      <c r="D290" t="s">
        <v>1206</v>
      </c>
      <c r="E290" t="s">
        <v>1139</v>
      </c>
      <c r="F290">
        <v>59</v>
      </c>
      <c r="G290">
        <v>74</v>
      </c>
      <c r="H290">
        <v>100</v>
      </c>
      <c r="I290" s="1">
        <v>4.5</v>
      </c>
      <c r="J290" s="2">
        <v>45377</v>
      </c>
      <c r="K290" s="2">
        <v>45550</v>
      </c>
      <c r="L290" s="2">
        <v>45608</v>
      </c>
      <c r="M290" t="s">
        <v>1207</v>
      </c>
      <c r="N290">
        <v>63</v>
      </c>
      <c r="O290">
        <v>69</v>
      </c>
      <c r="P290" t="s">
        <v>44</v>
      </c>
      <c r="Q290" t="str">
        <f t="shared" si="19"/>
        <v>OK</v>
      </c>
      <c r="R290" s="3">
        <f t="shared" si="17"/>
        <v>265.5</v>
      </c>
      <c r="S290">
        <f t="shared" si="16"/>
        <v>15</v>
      </c>
      <c r="T290" t="str">
        <f t="shared" si="18"/>
        <v>Reorder Required</v>
      </c>
    </row>
    <row r="291" spans="1:20" x14ac:dyDescent="0.3">
      <c r="A291" t="s">
        <v>1208</v>
      </c>
      <c r="B291" t="s">
        <v>440</v>
      </c>
      <c r="C291" t="s">
        <v>47</v>
      </c>
      <c r="D291" t="s">
        <v>1209</v>
      </c>
      <c r="E291" t="s">
        <v>240</v>
      </c>
      <c r="F291">
        <v>89</v>
      </c>
      <c r="G291">
        <v>15</v>
      </c>
      <c r="H291">
        <v>22</v>
      </c>
      <c r="I291" s="1">
        <v>10</v>
      </c>
      <c r="J291" s="2">
        <v>45613</v>
      </c>
      <c r="K291" s="2">
        <v>45699</v>
      </c>
      <c r="L291" s="2">
        <v>45415</v>
      </c>
      <c r="M291" t="s">
        <v>1210</v>
      </c>
      <c r="N291">
        <v>79</v>
      </c>
      <c r="O291">
        <v>42</v>
      </c>
      <c r="P291" t="s">
        <v>26</v>
      </c>
      <c r="Q291" t="str">
        <f t="shared" si="19"/>
        <v>Expiry before Received</v>
      </c>
      <c r="R291" s="3">
        <f t="shared" si="17"/>
        <v>890</v>
      </c>
      <c r="S291">
        <f t="shared" si="16"/>
        <v>0</v>
      </c>
      <c r="T291" t="str">
        <f t="shared" si="18"/>
        <v>Sufficient Stock</v>
      </c>
    </row>
    <row r="292" spans="1:20" x14ac:dyDescent="0.3">
      <c r="A292" t="s">
        <v>1211</v>
      </c>
      <c r="B292" t="s">
        <v>440</v>
      </c>
      <c r="C292" t="s">
        <v>47</v>
      </c>
      <c r="D292" t="s">
        <v>1212</v>
      </c>
      <c r="E292" t="s">
        <v>188</v>
      </c>
      <c r="F292">
        <v>53</v>
      </c>
      <c r="G292">
        <v>98</v>
      </c>
      <c r="H292">
        <v>25</v>
      </c>
      <c r="I292" s="1">
        <v>10</v>
      </c>
      <c r="J292" s="2">
        <v>45558</v>
      </c>
      <c r="K292" s="2">
        <v>45539</v>
      </c>
      <c r="L292" s="2">
        <v>45646</v>
      </c>
      <c r="M292" t="s">
        <v>1213</v>
      </c>
      <c r="N292">
        <v>55</v>
      </c>
      <c r="O292">
        <v>51</v>
      </c>
      <c r="P292" t="s">
        <v>44</v>
      </c>
      <c r="Q292" t="str">
        <f t="shared" si="19"/>
        <v>Last Order before Received</v>
      </c>
      <c r="R292" s="3">
        <f t="shared" si="17"/>
        <v>530</v>
      </c>
      <c r="S292">
        <f t="shared" si="16"/>
        <v>45</v>
      </c>
      <c r="T292" t="str">
        <f t="shared" si="18"/>
        <v>Reorder Required</v>
      </c>
    </row>
    <row r="293" spans="1:20" x14ac:dyDescent="0.3">
      <c r="A293" t="s">
        <v>1214</v>
      </c>
      <c r="B293" t="s">
        <v>46</v>
      </c>
      <c r="C293" t="s">
        <v>47</v>
      </c>
      <c r="D293" t="s">
        <v>1215</v>
      </c>
      <c r="E293" t="s">
        <v>605</v>
      </c>
      <c r="F293">
        <v>11</v>
      </c>
      <c r="G293">
        <v>56</v>
      </c>
      <c r="H293">
        <v>62</v>
      </c>
      <c r="I293" s="1">
        <v>3.9</v>
      </c>
      <c r="J293" s="2">
        <v>45396</v>
      </c>
      <c r="K293" s="2">
        <v>45667</v>
      </c>
      <c r="L293" s="2">
        <v>45575</v>
      </c>
      <c r="M293" t="s">
        <v>1216</v>
      </c>
      <c r="N293">
        <v>40</v>
      </c>
      <c r="O293">
        <v>5</v>
      </c>
      <c r="P293" t="s">
        <v>38</v>
      </c>
      <c r="Q293" t="str">
        <f t="shared" si="19"/>
        <v>OK</v>
      </c>
      <c r="R293" s="3">
        <f t="shared" si="17"/>
        <v>42.9</v>
      </c>
      <c r="S293">
        <f t="shared" si="16"/>
        <v>45</v>
      </c>
      <c r="T293" t="str">
        <f t="shared" si="18"/>
        <v>Reorder Required</v>
      </c>
    </row>
    <row r="294" spans="1:20" x14ac:dyDescent="0.3">
      <c r="A294" t="s">
        <v>1217</v>
      </c>
      <c r="B294" t="s">
        <v>1218</v>
      </c>
      <c r="C294" t="s">
        <v>64</v>
      </c>
      <c r="D294" t="s">
        <v>1219</v>
      </c>
      <c r="E294" t="s">
        <v>1220</v>
      </c>
      <c r="F294">
        <v>59</v>
      </c>
      <c r="G294">
        <v>27</v>
      </c>
      <c r="H294">
        <v>63</v>
      </c>
      <c r="I294" s="1">
        <v>1.75</v>
      </c>
      <c r="J294" s="2">
        <v>45458</v>
      </c>
      <c r="K294" s="2">
        <v>45470</v>
      </c>
      <c r="L294" s="2">
        <v>45689</v>
      </c>
      <c r="M294" t="s">
        <v>1221</v>
      </c>
      <c r="N294">
        <v>92</v>
      </c>
      <c r="O294">
        <v>82</v>
      </c>
      <c r="P294" t="s">
        <v>26</v>
      </c>
      <c r="Q294" t="str">
        <f t="shared" si="19"/>
        <v>OK</v>
      </c>
      <c r="R294" s="3">
        <f t="shared" si="17"/>
        <v>103.25</v>
      </c>
      <c r="S294">
        <f t="shared" si="16"/>
        <v>0</v>
      </c>
      <c r="T294" t="str">
        <f t="shared" si="18"/>
        <v>Sufficient Stock</v>
      </c>
    </row>
    <row r="295" spans="1:20" x14ac:dyDescent="0.3">
      <c r="A295" t="s">
        <v>1222</v>
      </c>
      <c r="B295" t="s">
        <v>201</v>
      </c>
      <c r="C295" t="s">
        <v>47</v>
      </c>
      <c r="D295" t="s">
        <v>1223</v>
      </c>
      <c r="E295" t="s">
        <v>1224</v>
      </c>
      <c r="F295">
        <v>34</v>
      </c>
      <c r="G295">
        <v>29</v>
      </c>
      <c r="H295">
        <v>65</v>
      </c>
      <c r="I295" s="1">
        <v>2</v>
      </c>
      <c r="J295" s="2">
        <v>45415</v>
      </c>
      <c r="K295" s="2">
        <v>45569</v>
      </c>
      <c r="L295" s="2">
        <v>45618</v>
      </c>
      <c r="M295" t="s">
        <v>1225</v>
      </c>
      <c r="N295">
        <v>90</v>
      </c>
      <c r="O295">
        <v>23</v>
      </c>
      <c r="P295" t="s">
        <v>26</v>
      </c>
      <c r="Q295" t="str">
        <f t="shared" si="19"/>
        <v>OK</v>
      </c>
      <c r="R295" s="3">
        <f t="shared" si="17"/>
        <v>68</v>
      </c>
      <c r="S295">
        <f t="shared" si="16"/>
        <v>0</v>
      </c>
      <c r="T295" t="str">
        <f t="shared" si="18"/>
        <v>Sufficient Stock</v>
      </c>
    </row>
    <row r="296" spans="1:20" x14ac:dyDescent="0.3">
      <c r="A296" t="s">
        <v>1226</v>
      </c>
      <c r="B296" t="s">
        <v>624</v>
      </c>
      <c r="C296" t="s">
        <v>132</v>
      </c>
      <c r="D296" t="s">
        <v>1227</v>
      </c>
      <c r="E296" t="s">
        <v>71</v>
      </c>
      <c r="F296">
        <v>25</v>
      </c>
      <c r="G296">
        <v>75</v>
      </c>
      <c r="H296">
        <v>27</v>
      </c>
      <c r="I296" s="1">
        <v>18</v>
      </c>
      <c r="J296" s="2">
        <v>45659</v>
      </c>
      <c r="K296" s="2">
        <v>45570</v>
      </c>
      <c r="L296" s="2">
        <v>45416</v>
      </c>
      <c r="M296" t="s">
        <v>1228</v>
      </c>
      <c r="N296">
        <v>31</v>
      </c>
      <c r="O296">
        <v>36</v>
      </c>
      <c r="P296" t="s">
        <v>44</v>
      </c>
      <c r="Q296" t="str">
        <f t="shared" si="19"/>
        <v>Expiry before Received</v>
      </c>
      <c r="R296" s="3">
        <f t="shared" si="17"/>
        <v>450</v>
      </c>
      <c r="S296">
        <f t="shared" si="16"/>
        <v>50</v>
      </c>
      <c r="T296" t="str">
        <f t="shared" si="18"/>
        <v>Reorder Required</v>
      </c>
    </row>
    <row r="297" spans="1:20" x14ac:dyDescent="0.3">
      <c r="A297" t="s">
        <v>1229</v>
      </c>
      <c r="B297" t="s">
        <v>800</v>
      </c>
      <c r="C297" t="s">
        <v>132</v>
      </c>
      <c r="D297" t="s">
        <v>1230</v>
      </c>
      <c r="E297" t="s">
        <v>1231</v>
      </c>
      <c r="F297">
        <v>81</v>
      </c>
      <c r="G297">
        <v>22</v>
      </c>
      <c r="H297">
        <v>20</v>
      </c>
      <c r="I297" s="1">
        <v>10</v>
      </c>
      <c r="J297" s="2">
        <v>45444</v>
      </c>
      <c r="K297" s="2">
        <v>45711</v>
      </c>
      <c r="L297" s="2">
        <v>45526</v>
      </c>
      <c r="M297" t="s">
        <v>1232</v>
      </c>
      <c r="N297">
        <v>95</v>
      </c>
      <c r="O297">
        <v>77</v>
      </c>
      <c r="P297" t="s">
        <v>26</v>
      </c>
      <c r="Q297" t="str">
        <f t="shared" si="19"/>
        <v>OK</v>
      </c>
      <c r="R297" s="3">
        <f t="shared" si="17"/>
        <v>810</v>
      </c>
      <c r="S297">
        <f t="shared" si="16"/>
        <v>0</v>
      </c>
      <c r="T297" t="str">
        <f t="shared" si="18"/>
        <v>Sufficient Stock</v>
      </c>
    </row>
    <row r="298" spans="1:20" x14ac:dyDescent="0.3">
      <c r="A298" t="s">
        <v>1233</v>
      </c>
      <c r="B298" t="s">
        <v>1234</v>
      </c>
      <c r="C298" t="s">
        <v>47</v>
      </c>
      <c r="D298" t="s">
        <v>1235</v>
      </c>
      <c r="E298" t="s">
        <v>1108</v>
      </c>
      <c r="F298">
        <v>81</v>
      </c>
      <c r="G298">
        <v>74</v>
      </c>
      <c r="H298">
        <v>45</v>
      </c>
      <c r="I298" s="1">
        <v>3.5</v>
      </c>
      <c r="J298" s="2">
        <v>45677</v>
      </c>
      <c r="K298" s="2">
        <v>45684</v>
      </c>
      <c r="L298" s="2">
        <v>45669</v>
      </c>
      <c r="M298" t="s">
        <v>1236</v>
      </c>
      <c r="N298">
        <v>42</v>
      </c>
      <c r="O298">
        <v>23</v>
      </c>
      <c r="P298" t="s">
        <v>26</v>
      </c>
      <c r="Q298" t="str">
        <f t="shared" si="19"/>
        <v>Expiry before Received</v>
      </c>
      <c r="R298" s="3">
        <f t="shared" si="17"/>
        <v>283.5</v>
      </c>
      <c r="S298">
        <f t="shared" si="16"/>
        <v>0</v>
      </c>
      <c r="T298" t="str">
        <f t="shared" si="18"/>
        <v>Sufficient Stock</v>
      </c>
    </row>
    <row r="299" spans="1:20" x14ac:dyDescent="0.3">
      <c r="A299" t="s">
        <v>1237</v>
      </c>
      <c r="B299" t="s">
        <v>780</v>
      </c>
      <c r="C299" t="s">
        <v>47</v>
      </c>
      <c r="D299" t="s">
        <v>1238</v>
      </c>
      <c r="E299" t="s">
        <v>460</v>
      </c>
      <c r="F299">
        <v>71</v>
      </c>
      <c r="G299">
        <v>4</v>
      </c>
      <c r="H299">
        <v>37</v>
      </c>
      <c r="I299" s="1">
        <v>3</v>
      </c>
      <c r="J299" s="2">
        <v>45550</v>
      </c>
      <c r="K299" s="2">
        <v>45589</v>
      </c>
      <c r="L299" s="2">
        <v>45653</v>
      </c>
      <c r="M299" t="s">
        <v>1239</v>
      </c>
      <c r="N299">
        <v>81</v>
      </c>
      <c r="O299">
        <v>25</v>
      </c>
      <c r="P299" t="s">
        <v>26</v>
      </c>
      <c r="Q299" t="str">
        <f t="shared" si="19"/>
        <v>OK</v>
      </c>
      <c r="R299" s="3">
        <f t="shared" si="17"/>
        <v>213</v>
      </c>
      <c r="S299">
        <f t="shared" si="16"/>
        <v>0</v>
      </c>
      <c r="T299" t="str">
        <f t="shared" si="18"/>
        <v>Sufficient Stock</v>
      </c>
    </row>
    <row r="300" spans="1:20" x14ac:dyDescent="0.3">
      <c r="A300" t="s">
        <v>1240</v>
      </c>
      <c r="B300" t="s">
        <v>594</v>
      </c>
      <c r="C300" t="s">
        <v>47</v>
      </c>
      <c r="D300" t="s">
        <v>1241</v>
      </c>
      <c r="E300" t="s">
        <v>1242</v>
      </c>
      <c r="F300">
        <v>52</v>
      </c>
      <c r="G300">
        <v>22</v>
      </c>
      <c r="H300">
        <v>37</v>
      </c>
      <c r="I300" s="1">
        <v>2.5</v>
      </c>
      <c r="J300" s="2">
        <v>45593</v>
      </c>
      <c r="K300" s="2">
        <v>45483</v>
      </c>
      <c r="L300" s="2">
        <v>45375</v>
      </c>
      <c r="M300" t="s">
        <v>1243</v>
      </c>
      <c r="N300">
        <v>56</v>
      </c>
      <c r="O300">
        <v>44</v>
      </c>
      <c r="P300" t="s">
        <v>44</v>
      </c>
      <c r="Q300" t="str">
        <f t="shared" si="19"/>
        <v>Expiry before Received</v>
      </c>
      <c r="R300" s="3">
        <f t="shared" si="17"/>
        <v>130</v>
      </c>
      <c r="S300">
        <f t="shared" si="16"/>
        <v>0</v>
      </c>
      <c r="T300" t="str">
        <f t="shared" si="18"/>
        <v>Sufficient Stock</v>
      </c>
    </row>
    <row r="301" spans="1:20" x14ac:dyDescent="0.3">
      <c r="A301" t="s">
        <v>1244</v>
      </c>
      <c r="B301" t="s">
        <v>69</v>
      </c>
      <c r="C301" t="s">
        <v>64</v>
      </c>
      <c r="D301" t="s">
        <v>1245</v>
      </c>
      <c r="E301" t="s">
        <v>1246</v>
      </c>
      <c r="F301">
        <v>26</v>
      </c>
      <c r="G301">
        <v>54</v>
      </c>
      <c r="H301">
        <v>90</v>
      </c>
      <c r="I301" s="1">
        <v>3</v>
      </c>
      <c r="J301" s="2">
        <v>45580</v>
      </c>
      <c r="K301" s="2">
        <v>45462</v>
      </c>
      <c r="L301" s="2">
        <v>45678</v>
      </c>
      <c r="M301" t="s">
        <v>1247</v>
      </c>
      <c r="N301">
        <v>25</v>
      </c>
      <c r="O301">
        <v>81</v>
      </c>
      <c r="P301" t="s">
        <v>44</v>
      </c>
      <c r="Q301" t="str">
        <f t="shared" si="19"/>
        <v>Last Order before Received</v>
      </c>
      <c r="R301" s="3">
        <f t="shared" si="17"/>
        <v>78</v>
      </c>
      <c r="S301">
        <f t="shared" si="16"/>
        <v>28</v>
      </c>
      <c r="T301" t="str">
        <f t="shared" si="18"/>
        <v>Reorder Required</v>
      </c>
    </row>
    <row r="302" spans="1:20" x14ac:dyDescent="0.3">
      <c r="A302" t="s">
        <v>1248</v>
      </c>
      <c r="B302" t="s">
        <v>196</v>
      </c>
      <c r="C302" t="s">
        <v>132</v>
      </c>
      <c r="D302" t="s">
        <v>1249</v>
      </c>
      <c r="E302" t="s">
        <v>1250</v>
      </c>
      <c r="F302">
        <v>84</v>
      </c>
      <c r="G302">
        <v>8</v>
      </c>
      <c r="H302">
        <v>54</v>
      </c>
      <c r="I302" s="1">
        <v>9</v>
      </c>
      <c r="J302" s="2">
        <v>45671</v>
      </c>
      <c r="K302" s="2">
        <v>45405</v>
      </c>
      <c r="L302" s="2">
        <v>45360</v>
      </c>
      <c r="M302" t="s">
        <v>1251</v>
      </c>
      <c r="N302">
        <v>60</v>
      </c>
      <c r="O302">
        <v>38</v>
      </c>
      <c r="P302" t="s">
        <v>44</v>
      </c>
      <c r="Q302" t="str">
        <f t="shared" si="19"/>
        <v>Expiry before Received</v>
      </c>
      <c r="R302" s="3">
        <f t="shared" si="17"/>
        <v>756</v>
      </c>
      <c r="S302">
        <f t="shared" si="16"/>
        <v>0</v>
      </c>
      <c r="T302" t="str">
        <f t="shared" si="18"/>
        <v>Sufficient Stock</v>
      </c>
    </row>
    <row r="303" spans="1:20" x14ac:dyDescent="0.3">
      <c r="A303" t="s">
        <v>1252</v>
      </c>
      <c r="B303" t="s">
        <v>440</v>
      </c>
      <c r="C303" t="s">
        <v>47</v>
      </c>
      <c r="D303" t="s">
        <v>1253</v>
      </c>
      <c r="E303" t="s">
        <v>609</v>
      </c>
      <c r="F303">
        <v>28</v>
      </c>
      <c r="G303">
        <v>86</v>
      </c>
      <c r="H303">
        <v>44</v>
      </c>
      <c r="I303" s="1">
        <v>10</v>
      </c>
      <c r="J303" s="2">
        <v>45435</v>
      </c>
      <c r="K303" s="2">
        <v>45614</v>
      </c>
      <c r="L303" s="2">
        <v>45502</v>
      </c>
      <c r="M303" t="s">
        <v>1254</v>
      </c>
      <c r="N303">
        <v>48</v>
      </c>
      <c r="O303">
        <v>12</v>
      </c>
      <c r="P303" t="s">
        <v>38</v>
      </c>
      <c r="Q303" t="str">
        <f t="shared" si="19"/>
        <v>OK</v>
      </c>
      <c r="R303" s="3">
        <f t="shared" si="17"/>
        <v>280</v>
      </c>
      <c r="S303">
        <f t="shared" si="16"/>
        <v>58</v>
      </c>
      <c r="T303" t="str">
        <f t="shared" si="18"/>
        <v>Reorder Required</v>
      </c>
    </row>
    <row r="304" spans="1:20" x14ac:dyDescent="0.3">
      <c r="A304" t="s">
        <v>1255</v>
      </c>
      <c r="B304" t="s">
        <v>98</v>
      </c>
      <c r="C304" t="s">
        <v>47</v>
      </c>
      <c r="D304" t="s">
        <v>1256</v>
      </c>
      <c r="E304" t="s">
        <v>1257</v>
      </c>
      <c r="F304">
        <v>94</v>
      </c>
      <c r="G304">
        <v>77</v>
      </c>
      <c r="H304">
        <v>89</v>
      </c>
      <c r="I304" s="1">
        <v>6</v>
      </c>
      <c r="J304" s="2">
        <v>45565</v>
      </c>
      <c r="K304" s="2">
        <v>45463</v>
      </c>
      <c r="L304" s="2">
        <v>45464</v>
      </c>
      <c r="M304" t="s">
        <v>1258</v>
      </c>
      <c r="N304">
        <v>40</v>
      </c>
      <c r="O304">
        <v>84</v>
      </c>
      <c r="P304" t="s">
        <v>26</v>
      </c>
      <c r="Q304" t="str">
        <f t="shared" si="19"/>
        <v>Expiry before Received</v>
      </c>
      <c r="R304" s="3">
        <f t="shared" si="17"/>
        <v>564</v>
      </c>
      <c r="S304">
        <f t="shared" si="16"/>
        <v>0</v>
      </c>
      <c r="T304" t="str">
        <f t="shared" si="18"/>
        <v>Sufficient Stock</v>
      </c>
    </row>
    <row r="305" spans="1:20" x14ac:dyDescent="0.3">
      <c r="A305" t="s">
        <v>1259</v>
      </c>
      <c r="B305" t="s">
        <v>256</v>
      </c>
      <c r="C305" t="s">
        <v>47</v>
      </c>
      <c r="D305" t="s">
        <v>1260</v>
      </c>
      <c r="E305" t="s">
        <v>1261</v>
      </c>
      <c r="F305">
        <v>47</v>
      </c>
      <c r="G305">
        <v>75</v>
      </c>
      <c r="H305">
        <v>53</v>
      </c>
      <c r="I305" s="1">
        <v>6</v>
      </c>
      <c r="J305" s="2">
        <v>45694</v>
      </c>
      <c r="K305" s="2">
        <v>45568</v>
      </c>
      <c r="L305" s="2">
        <v>45476</v>
      </c>
      <c r="M305" t="s">
        <v>1262</v>
      </c>
      <c r="N305">
        <v>70</v>
      </c>
      <c r="O305">
        <v>20</v>
      </c>
      <c r="P305" t="s">
        <v>26</v>
      </c>
      <c r="Q305" t="str">
        <f t="shared" si="19"/>
        <v>Expiry before Received</v>
      </c>
      <c r="R305" s="3">
        <f t="shared" si="17"/>
        <v>282</v>
      </c>
      <c r="S305">
        <f t="shared" si="16"/>
        <v>28</v>
      </c>
      <c r="T305" t="str">
        <f t="shared" si="18"/>
        <v>Reorder Required</v>
      </c>
    </row>
    <row r="306" spans="1:20" x14ac:dyDescent="0.3">
      <c r="A306" t="s">
        <v>1263</v>
      </c>
      <c r="B306" t="s">
        <v>1264</v>
      </c>
      <c r="C306" t="s">
        <v>22</v>
      </c>
      <c r="D306" t="s">
        <v>1265</v>
      </c>
      <c r="E306" t="s">
        <v>972</v>
      </c>
      <c r="F306">
        <v>20</v>
      </c>
      <c r="G306">
        <v>51</v>
      </c>
      <c r="H306">
        <v>21</v>
      </c>
      <c r="I306" s="1">
        <v>5</v>
      </c>
      <c r="J306" s="2">
        <v>45370</v>
      </c>
      <c r="K306" s="2">
        <v>45501</v>
      </c>
      <c r="L306" s="2">
        <v>45461</v>
      </c>
      <c r="M306" t="s">
        <v>1266</v>
      </c>
      <c r="N306">
        <v>71</v>
      </c>
      <c r="O306">
        <v>26</v>
      </c>
      <c r="P306" t="s">
        <v>38</v>
      </c>
      <c r="Q306" t="str">
        <f t="shared" si="19"/>
        <v>OK</v>
      </c>
      <c r="R306" s="3">
        <f t="shared" si="17"/>
        <v>100</v>
      </c>
      <c r="S306">
        <f t="shared" si="16"/>
        <v>31</v>
      </c>
      <c r="T306" t="str">
        <f t="shared" si="18"/>
        <v>Reorder Required</v>
      </c>
    </row>
    <row r="307" spans="1:20" x14ac:dyDescent="0.3">
      <c r="A307" t="s">
        <v>1267</v>
      </c>
      <c r="B307" t="s">
        <v>1268</v>
      </c>
      <c r="C307" t="s">
        <v>47</v>
      </c>
      <c r="D307" t="s">
        <v>1269</v>
      </c>
      <c r="E307" t="s">
        <v>907</v>
      </c>
      <c r="F307">
        <v>84</v>
      </c>
      <c r="G307">
        <v>20</v>
      </c>
      <c r="H307">
        <v>58</v>
      </c>
      <c r="I307" s="1">
        <v>2.5</v>
      </c>
      <c r="J307" s="2">
        <v>45390</v>
      </c>
      <c r="K307" s="2">
        <v>45667</v>
      </c>
      <c r="L307" s="2">
        <v>45384</v>
      </c>
      <c r="M307" t="s">
        <v>1270</v>
      </c>
      <c r="N307">
        <v>86</v>
      </c>
      <c r="O307">
        <v>64</v>
      </c>
      <c r="P307" t="s">
        <v>38</v>
      </c>
      <c r="Q307" t="str">
        <f t="shared" si="19"/>
        <v>Expiry before Received</v>
      </c>
      <c r="R307" s="3">
        <f t="shared" si="17"/>
        <v>210</v>
      </c>
      <c r="S307">
        <f t="shared" si="16"/>
        <v>0</v>
      </c>
      <c r="T307" t="str">
        <f t="shared" si="18"/>
        <v>Sufficient Stock</v>
      </c>
    </row>
    <row r="308" spans="1:20" x14ac:dyDescent="0.3">
      <c r="A308" t="s">
        <v>1271</v>
      </c>
      <c r="B308" t="s">
        <v>450</v>
      </c>
      <c r="C308" t="s">
        <v>64</v>
      </c>
      <c r="D308" t="s">
        <v>1272</v>
      </c>
      <c r="E308" t="s">
        <v>123</v>
      </c>
      <c r="F308">
        <v>100</v>
      </c>
      <c r="G308">
        <v>31</v>
      </c>
      <c r="H308">
        <v>43</v>
      </c>
      <c r="I308" s="1">
        <v>9</v>
      </c>
      <c r="J308" s="2">
        <v>45548</v>
      </c>
      <c r="K308" s="2">
        <v>45663</v>
      </c>
      <c r="L308" s="2">
        <v>45652</v>
      </c>
      <c r="M308" t="s">
        <v>1273</v>
      </c>
      <c r="N308">
        <v>88</v>
      </c>
      <c r="O308">
        <v>52</v>
      </c>
      <c r="P308" t="s">
        <v>38</v>
      </c>
      <c r="Q308" t="str">
        <f t="shared" si="19"/>
        <v>OK</v>
      </c>
      <c r="R308" s="3">
        <f t="shared" si="17"/>
        <v>900</v>
      </c>
      <c r="S308">
        <f t="shared" si="16"/>
        <v>0</v>
      </c>
      <c r="T308" t="str">
        <f t="shared" si="18"/>
        <v>Sufficient Stock</v>
      </c>
    </row>
    <row r="309" spans="1:20" x14ac:dyDescent="0.3">
      <c r="A309" t="s">
        <v>1274</v>
      </c>
      <c r="B309" t="s">
        <v>1099</v>
      </c>
      <c r="C309" t="s">
        <v>64</v>
      </c>
      <c r="D309" t="s">
        <v>1275</v>
      </c>
      <c r="E309" t="s">
        <v>985</v>
      </c>
      <c r="F309">
        <v>74</v>
      </c>
      <c r="G309">
        <v>90</v>
      </c>
      <c r="H309">
        <v>26</v>
      </c>
      <c r="I309" s="1">
        <v>1</v>
      </c>
      <c r="J309" s="2">
        <v>45435</v>
      </c>
      <c r="K309" s="2">
        <v>45695</v>
      </c>
      <c r="L309" s="2">
        <v>45490</v>
      </c>
      <c r="M309" t="s">
        <v>1276</v>
      </c>
      <c r="N309">
        <v>24</v>
      </c>
      <c r="O309">
        <v>11</v>
      </c>
      <c r="P309" t="s">
        <v>26</v>
      </c>
      <c r="Q309" t="str">
        <f t="shared" si="19"/>
        <v>OK</v>
      </c>
      <c r="R309" s="3">
        <f t="shared" si="17"/>
        <v>74</v>
      </c>
      <c r="S309">
        <f t="shared" si="16"/>
        <v>16</v>
      </c>
      <c r="T309" t="str">
        <f t="shared" si="18"/>
        <v>Reorder Required</v>
      </c>
    </row>
    <row r="310" spans="1:20" x14ac:dyDescent="0.3">
      <c r="A310" t="s">
        <v>1277</v>
      </c>
      <c r="B310" t="s">
        <v>286</v>
      </c>
      <c r="C310" t="s">
        <v>29</v>
      </c>
      <c r="D310" t="s">
        <v>1278</v>
      </c>
      <c r="E310" t="s">
        <v>1279</v>
      </c>
      <c r="F310">
        <v>27</v>
      </c>
      <c r="G310">
        <v>12</v>
      </c>
      <c r="H310">
        <v>93</v>
      </c>
      <c r="I310" s="1">
        <v>12</v>
      </c>
      <c r="J310" s="2">
        <v>45355</v>
      </c>
      <c r="K310" s="2">
        <v>45485</v>
      </c>
      <c r="L310" s="2">
        <v>45378</v>
      </c>
      <c r="M310" t="s">
        <v>1280</v>
      </c>
      <c r="N310">
        <v>88</v>
      </c>
      <c r="O310">
        <v>83</v>
      </c>
      <c r="P310" t="s">
        <v>26</v>
      </c>
      <c r="Q310" t="str">
        <f t="shared" si="19"/>
        <v>OK</v>
      </c>
      <c r="R310" s="3">
        <f t="shared" si="17"/>
        <v>324</v>
      </c>
      <c r="S310">
        <f t="shared" si="16"/>
        <v>0</v>
      </c>
      <c r="T310" t="str">
        <f t="shared" si="18"/>
        <v>Sufficient Stock</v>
      </c>
    </row>
    <row r="311" spans="1:20" x14ac:dyDescent="0.3">
      <c r="A311" t="s">
        <v>1281</v>
      </c>
      <c r="B311" t="s">
        <v>354</v>
      </c>
      <c r="C311" t="s">
        <v>47</v>
      </c>
      <c r="D311" t="s">
        <v>1282</v>
      </c>
      <c r="E311" t="s">
        <v>1283</v>
      </c>
      <c r="F311">
        <v>91</v>
      </c>
      <c r="G311">
        <v>55</v>
      </c>
      <c r="H311">
        <v>94</v>
      </c>
      <c r="I311" s="1">
        <v>3</v>
      </c>
      <c r="J311" s="2">
        <v>45362</v>
      </c>
      <c r="K311" s="2">
        <v>45392</v>
      </c>
      <c r="L311" s="2">
        <v>45408</v>
      </c>
      <c r="M311" t="s">
        <v>1284</v>
      </c>
      <c r="N311">
        <v>42</v>
      </c>
      <c r="O311">
        <v>93</v>
      </c>
      <c r="P311" t="s">
        <v>44</v>
      </c>
      <c r="Q311" t="str">
        <f t="shared" si="19"/>
        <v>OK</v>
      </c>
      <c r="R311" s="3">
        <f t="shared" si="17"/>
        <v>273</v>
      </c>
      <c r="S311">
        <f t="shared" si="16"/>
        <v>0</v>
      </c>
      <c r="T311" t="str">
        <f t="shared" si="18"/>
        <v>Sufficient Stock</v>
      </c>
    </row>
    <row r="312" spans="1:20" x14ac:dyDescent="0.3">
      <c r="A312" t="s">
        <v>1285</v>
      </c>
      <c r="B312" t="s">
        <v>1125</v>
      </c>
      <c r="C312" t="s">
        <v>47</v>
      </c>
      <c r="D312" t="s">
        <v>1286</v>
      </c>
      <c r="E312" t="s">
        <v>1287</v>
      </c>
      <c r="F312">
        <v>82</v>
      </c>
      <c r="G312">
        <v>21</v>
      </c>
      <c r="H312">
        <v>85</v>
      </c>
      <c r="I312" s="1">
        <v>5.5</v>
      </c>
      <c r="J312" s="2">
        <v>45396</v>
      </c>
      <c r="K312" s="2">
        <v>45370</v>
      </c>
      <c r="L312" s="2">
        <v>45481</v>
      </c>
      <c r="M312" t="s">
        <v>1288</v>
      </c>
      <c r="N312">
        <v>39</v>
      </c>
      <c r="O312">
        <v>18</v>
      </c>
      <c r="P312" t="s">
        <v>38</v>
      </c>
      <c r="Q312" t="str">
        <f t="shared" si="19"/>
        <v>Last Order before Received</v>
      </c>
      <c r="R312" s="3">
        <f t="shared" si="17"/>
        <v>451</v>
      </c>
      <c r="S312">
        <f t="shared" si="16"/>
        <v>0</v>
      </c>
      <c r="T312" t="str">
        <f t="shared" si="18"/>
        <v>Sufficient Stock</v>
      </c>
    </row>
    <row r="313" spans="1:20" x14ac:dyDescent="0.3">
      <c r="A313" t="s">
        <v>1289</v>
      </c>
      <c r="B313" t="s">
        <v>108</v>
      </c>
      <c r="C313" t="s">
        <v>22</v>
      </c>
      <c r="D313" t="s">
        <v>1290</v>
      </c>
      <c r="E313" t="s">
        <v>351</v>
      </c>
      <c r="F313">
        <v>84</v>
      </c>
      <c r="G313">
        <v>91</v>
      </c>
      <c r="H313">
        <v>86</v>
      </c>
      <c r="I313" s="1">
        <v>1.5</v>
      </c>
      <c r="J313" s="2">
        <v>45665</v>
      </c>
      <c r="K313" s="2">
        <v>45633</v>
      </c>
      <c r="L313" s="2">
        <v>45618</v>
      </c>
      <c r="M313" t="s">
        <v>1291</v>
      </c>
      <c r="N313">
        <v>83</v>
      </c>
      <c r="O313">
        <v>95</v>
      </c>
      <c r="P313" t="s">
        <v>38</v>
      </c>
      <c r="Q313" t="str">
        <f t="shared" si="19"/>
        <v>Expiry before Received</v>
      </c>
      <c r="R313" s="3">
        <f t="shared" si="17"/>
        <v>126</v>
      </c>
      <c r="S313">
        <f t="shared" si="16"/>
        <v>7</v>
      </c>
      <c r="T313" t="str">
        <f t="shared" si="18"/>
        <v>Reorder Required</v>
      </c>
    </row>
    <row r="314" spans="1:20" x14ac:dyDescent="0.3">
      <c r="A314" t="s">
        <v>1292</v>
      </c>
      <c r="B314" t="s">
        <v>1166</v>
      </c>
      <c r="C314" t="s">
        <v>132</v>
      </c>
      <c r="D314" t="s">
        <v>1293</v>
      </c>
      <c r="E314" t="s">
        <v>1294</v>
      </c>
      <c r="F314">
        <v>18</v>
      </c>
      <c r="G314">
        <v>46</v>
      </c>
      <c r="H314">
        <v>26</v>
      </c>
      <c r="I314" s="1">
        <v>20</v>
      </c>
      <c r="J314" s="2">
        <v>45392</v>
      </c>
      <c r="K314" s="2">
        <v>45575</v>
      </c>
      <c r="L314" s="2">
        <v>45548</v>
      </c>
      <c r="M314" t="s">
        <v>1295</v>
      </c>
      <c r="N314">
        <v>57</v>
      </c>
      <c r="O314">
        <v>95</v>
      </c>
      <c r="P314" t="s">
        <v>38</v>
      </c>
      <c r="Q314" t="str">
        <f t="shared" si="19"/>
        <v>OK</v>
      </c>
      <c r="R314" s="3">
        <f t="shared" si="17"/>
        <v>360</v>
      </c>
      <c r="S314">
        <f t="shared" si="16"/>
        <v>28</v>
      </c>
      <c r="T314" t="str">
        <f t="shared" si="18"/>
        <v>Reorder Required</v>
      </c>
    </row>
    <row r="315" spans="1:20" x14ac:dyDescent="0.3">
      <c r="A315" t="s">
        <v>1296</v>
      </c>
      <c r="B315" t="s">
        <v>265</v>
      </c>
      <c r="C315" t="s">
        <v>89</v>
      </c>
      <c r="D315" t="s">
        <v>1297</v>
      </c>
      <c r="E315" t="s">
        <v>1246</v>
      </c>
      <c r="F315">
        <v>12</v>
      </c>
      <c r="G315">
        <v>59</v>
      </c>
      <c r="H315">
        <v>62</v>
      </c>
      <c r="I315" s="1">
        <v>4.5</v>
      </c>
      <c r="J315" s="2">
        <v>45446</v>
      </c>
      <c r="K315" s="2">
        <v>45673</v>
      </c>
      <c r="L315" s="2">
        <v>45509</v>
      </c>
      <c r="M315" t="s">
        <v>1298</v>
      </c>
      <c r="N315">
        <v>75</v>
      </c>
      <c r="O315">
        <v>92</v>
      </c>
      <c r="P315" t="s">
        <v>38</v>
      </c>
      <c r="Q315" t="str">
        <f t="shared" si="19"/>
        <v>OK</v>
      </c>
      <c r="R315" s="3">
        <f t="shared" si="17"/>
        <v>54</v>
      </c>
      <c r="S315">
        <f t="shared" si="16"/>
        <v>47</v>
      </c>
      <c r="T315" t="str">
        <f t="shared" si="18"/>
        <v>Reorder Required</v>
      </c>
    </row>
    <row r="316" spans="1:20" x14ac:dyDescent="0.3">
      <c r="A316" t="s">
        <v>1299</v>
      </c>
      <c r="B316" t="s">
        <v>34</v>
      </c>
      <c r="C316" t="s">
        <v>22</v>
      </c>
      <c r="D316" t="s">
        <v>1300</v>
      </c>
      <c r="E316" t="s">
        <v>95</v>
      </c>
      <c r="F316">
        <v>85</v>
      </c>
      <c r="G316">
        <v>4</v>
      </c>
      <c r="H316">
        <v>75</v>
      </c>
      <c r="I316" s="1">
        <v>6.5</v>
      </c>
      <c r="J316" s="2">
        <v>45522</v>
      </c>
      <c r="K316" s="2">
        <v>45385</v>
      </c>
      <c r="L316" s="2">
        <v>45599</v>
      </c>
      <c r="M316" t="s">
        <v>1301</v>
      </c>
      <c r="N316">
        <v>95</v>
      </c>
      <c r="O316">
        <v>70</v>
      </c>
      <c r="P316" t="s">
        <v>38</v>
      </c>
      <c r="Q316" t="str">
        <f t="shared" si="19"/>
        <v>Last Order before Received</v>
      </c>
      <c r="R316" s="3">
        <f t="shared" si="17"/>
        <v>552.5</v>
      </c>
      <c r="S316">
        <f t="shared" si="16"/>
        <v>0</v>
      </c>
      <c r="T316" t="str">
        <f t="shared" si="18"/>
        <v>Sufficient Stock</v>
      </c>
    </row>
    <row r="317" spans="1:20" x14ac:dyDescent="0.3">
      <c r="A317" t="s">
        <v>1302</v>
      </c>
      <c r="B317" t="s">
        <v>397</v>
      </c>
      <c r="C317" t="s">
        <v>89</v>
      </c>
      <c r="D317" t="s">
        <v>1303</v>
      </c>
      <c r="E317" t="s">
        <v>1304</v>
      </c>
      <c r="F317">
        <v>33</v>
      </c>
      <c r="G317">
        <v>60</v>
      </c>
      <c r="H317">
        <v>67</v>
      </c>
      <c r="I317" s="1">
        <v>6</v>
      </c>
      <c r="J317" s="2">
        <v>45459</v>
      </c>
      <c r="K317" s="2">
        <v>45436</v>
      </c>
      <c r="L317" s="2">
        <v>45654</v>
      </c>
      <c r="M317" t="s">
        <v>1305</v>
      </c>
      <c r="N317">
        <v>20</v>
      </c>
      <c r="O317">
        <v>7</v>
      </c>
      <c r="P317" t="s">
        <v>26</v>
      </c>
      <c r="Q317" t="str">
        <f t="shared" si="19"/>
        <v>Last Order before Received</v>
      </c>
      <c r="R317" s="3">
        <f t="shared" si="17"/>
        <v>198</v>
      </c>
      <c r="S317">
        <f t="shared" si="16"/>
        <v>27</v>
      </c>
      <c r="T317" t="str">
        <f t="shared" si="18"/>
        <v>Reorder Required</v>
      </c>
    </row>
    <row r="318" spans="1:20" x14ac:dyDescent="0.3">
      <c r="A318" t="s">
        <v>1306</v>
      </c>
      <c r="B318" t="s">
        <v>508</v>
      </c>
      <c r="C318" t="s">
        <v>132</v>
      </c>
      <c r="D318" t="s">
        <v>1307</v>
      </c>
      <c r="E318" t="s">
        <v>638</v>
      </c>
      <c r="F318">
        <v>59</v>
      </c>
      <c r="G318">
        <v>59</v>
      </c>
      <c r="H318">
        <v>10</v>
      </c>
      <c r="I318" s="1">
        <v>7</v>
      </c>
      <c r="J318" s="2">
        <v>45522</v>
      </c>
      <c r="K318" s="2">
        <v>45606</v>
      </c>
      <c r="L318" s="2">
        <v>45366</v>
      </c>
      <c r="M318" t="s">
        <v>1308</v>
      </c>
      <c r="N318">
        <v>57</v>
      </c>
      <c r="O318">
        <v>50</v>
      </c>
      <c r="P318" t="s">
        <v>44</v>
      </c>
      <c r="Q318" t="str">
        <f t="shared" si="19"/>
        <v>Expiry before Received</v>
      </c>
      <c r="R318" s="3">
        <f t="shared" si="17"/>
        <v>413</v>
      </c>
      <c r="S318">
        <f t="shared" si="16"/>
        <v>0</v>
      </c>
      <c r="T318" t="str">
        <f t="shared" si="18"/>
        <v>Sufficient Stock</v>
      </c>
    </row>
    <row r="319" spans="1:20" x14ac:dyDescent="0.3">
      <c r="A319" t="s">
        <v>1309</v>
      </c>
      <c r="B319" t="s">
        <v>1125</v>
      </c>
      <c r="C319" t="s">
        <v>47</v>
      </c>
      <c r="D319" t="s">
        <v>1310</v>
      </c>
      <c r="E319" t="s">
        <v>1311</v>
      </c>
      <c r="F319">
        <v>22</v>
      </c>
      <c r="G319">
        <v>69</v>
      </c>
      <c r="H319">
        <v>87</v>
      </c>
      <c r="I319" s="1">
        <v>5.5</v>
      </c>
      <c r="J319" s="2">
        <v>45697</v>
      </c>
      <c r="K319" s="2">
        <v>45458</v>
      </c>
      <c r="L319" s="2">
        <v>45708</v>
      </c>
      <c r="M319" t="s">
        <v>1312</v>
      </c>
      <c r="N319">
        <v>34</v>
      </c>
      <c r="O319">
        <v>26</v>
      </c>
      <c r="P319" t="s">
        <v>38</v>
      </c>
      <c r="Q319" t="str">
        <f t="shared" si="19"/>
        <v>Last Order before Received</v>
      </c>
      <c r="R319" s="3">
        <f t="shared" si="17"/>
        <v>121</v>
      </c>
      <c r="S319">
        <f t="shared" si="16"/>
        <v>47</v>
      </c>
      <c r="T319" t="str">
        <f t="shared" si="18"/>
        <v>Reorder Required</v>
      </c>
    </row>
    <row r="320" spans="1:20" x14ac:dyDescent="0.3">
      <c r="A320" t="s">
        <v>1313</v>
      </c>
      <c r="B320" t="s">
        <v>612</v>
      </c>
      <c r="C320" t="s">
        <v>64</v>
      </c>
      <c r="D320" t="s">
        <v>1314</v>
      </c>
      <c r="E320" t="s">
        <v>1315</v>
      </c>
      <c r="F320">
        <v>67</v>
      </c>
      <c r="G320">
        <v>79</v>
      </c>
      <c r="H320">
        <v>98</v>
      </c>
      <c r="I320" s="1">
        <v>7</v>
      </c>
      <c r="J320" s="2">
        <v>45701</v>
      </c>
      <c r="K320" s="2">
        <v>45515</v>
      </c>
      <c r="L320" s="2">
        <v>45388</v>
      </c>
      <c r="M320" t="s">
        <v>1316</v>
      </c>
      <c r="N320">
        <v>73</v>
      </c>
      <c r="O320">
        <v>36</v>
      </c>
      <c r="P320" t="s">
        <v>44</v>
      </c>
      <c r="Q320" t="str">
        <f t="shared" si="19"/>
        <v>Expiry before Received</v>
      </c>
      <c r="R320" s="3">
        <f t="shared" si="17"/>
        <v>469</v>
      </c>
      <c r="S320">
        <f t="shared" si="16"/>
        <v>12</v>
      </c>
      <c r="T320" t="str">
        <f t="shared" si="18"/>
        <v>Reorder Required</v>
      </c>
    </row>
    <row r="321" spans="1:20" x14ac:dyDescent="0.3">
      <c r="A321" t="s">
        <v>1317</v>
      </c>
      <c r="B321" t="s">
        <v>450</v>
      </c>
      <c r="C321" t="s">
        <v>64</v>
      </c>
      <c r="D321" t="s">
        <v>1318</v>
      </c>
      <c r="E321" t="s">
        <v>1319</v>
      </c>
      <c r="F321">
        <v>78</v>
      </c>
      <c r="G321">
        <v>24</v>
      </c>
      <c r="H321">
        <v>31</v>
      </c>
      <c r="I321" s="1">
        <v>9</v>
      </c>
      <c r="J321" s="2">
        <v>45444</v>
      </c>
      <c r="K321" s="2">
        <v>45446</v>
      </c>
      <c r="L321" s="2">
        <v>45358</v>
      </c>
      <c r="M321" t="s">
        <v>1320</v>
      </c>
      <c r="N321">
        <v>60</v>
      </c>
      <c r="O321">
        <v>41</v>
      </c>
      <c r="P321" t="s">
        <v>44</v>
      </c>
      <c r="Q321" t="str">
        <f t="shared" si="19"/>
        <v>Expiry before Received</v>
      </c>
      <c r="R321" s="3">
        <f t="shared" si="17"/>
        <v>702</v>
      </c>
      <c r="S321">
        <f t="shared" si="16"/>
        <v>0</v>
      </c>
      <c r="T321" t="str">
        <f t="shared" si="18"/>
        <v>Sufficient Stock</v>
      </c>
    </row>
    <row r="322" spans="1:20" x14ac:dyDescent="0.3">
      <c r="A322" t="s">
        <v>1321</v>
      </c>
      <c r="B322" t="s">
        <v>229</v>
      </c>
      <c r="C322" t="s">
        <v>47</v>
      </c>
      <c r="D322" t="s">
        <v>1322</v>
      </c>
      <c r="E322" t="s">
        <v>1174</v>
      </c>
      <c r="F322">
        <v>72</v>
      </c>
      <c r="G322">
        <v>32</v>
      </c>
      <c r="H322">
        <v>80</v>
      </c>
      <c r="I322" s="1">
        <v>2.4500000000000002</v>
      </c>
      <c r="J322" s="2">
        <v>45479</v>
      </c>
      <c r="K322" s="2">
        <v>45613</v>
      </c>
      <c r="L322" s="2">
        <v>45392</v>
      </c>
      <c r="M322" t="s">
        <v>1323</v>
      </c>
      <c r="N322">
        <v>25</v>
      </c>
      <c r="O322">
        <v>9</v>
      </c>
      <c r="P322" t="s">
        <v>38</v>
      </c>
      <c r="Q322" t="str">
        <f t="shared" si="19"/>
        <v>Expiry before Received</v>
      </c>
      <c r="R322" s="3">
        <f t="shared" si="17"/>
        <v>176.4</v>
      </c>
      <c r="S322">
        <f t="shared" ref="S322:S385" si="20">MAX(0,G322-F322)</f>
        <v>0</v>
      </c>
      <c r="T322" t="str">
        <f t="shared" si="18"/>
        <v>Sufficient Stock</v>
      </c>
    </row>
    <row r="323" spans="1:20" x14ac:dyDescent="0.3">
      <c r="A323" t="s">
        <v>1324</v>
      </c>
      <c r="B323" t="s">
        <v>363</v>
      </c>
      <c r="C323" t="s">
        <v>64</v>
      </c>
      <c r="D323" t="s">
        <v>1325</v>
      </c>
      <c r="E323" t="s">
        <v>674</v>
      </c>
      <c r="F323">
        <v>63</v>
      </c>
      <c r="G323">
        <v>48</v>
      </c>
      <c r="H323">
        <v>22</v>
      </c>
      <c r="I323" s="1">
        <v>4</v>
      </c>
      <c r="J323" s="2">
        <v>45442</v>
      </c>
      <c r="K323" s="2">
        <v>45706</v>
      </c>
      <c r="L323" s="2">
        <v>45491</v>
      </c>
      <c r="M323" t="s">
        <v>1326</v>
      </c>
      <c r="N323">
        <v>21</v>
      </c>
      <c r="O323">
        <v>90</v>
      </c>
      <c r="P323" t="s">
        <v>26</v>
      </c>
      <c r="Q323" t="str">
        <f t="shared" si="19"/>
        <v>OK</v>
      </c>
      <c r="R323" s="3">
        <f t="shared" ref="R323:R386" si="21">F323*I323</f>
        <v>252</v>
      </c>
      <c r="S323">
        <f t="shared" si="20"/>
        <v>0</v>
      </c>
      <c r="T323" t="str">
        <f t="shared" ref="T323:T386" si="22">IF(F323&lt;G323,"Reorder Required","Sufficient Stock")</f>
        <v>Sufficient Stock</v>
      </c>
    </row>
    <row r="324" spans="1:20" x14ac:dyDescent="0.3">
      <c r="A324" t="s">
        <v>1327</v>
      </c>
      <c r="B324" t="s">
        <v>282</v>
      </c>
      <c r="C324" t="s">
        <v>89</v>
      </c>
      <c r="D324" t="s">
        <v>1328</v>
      </c>
      <c r="E324" t="s">
        <v>60</v>
      </c>
      <c r="F324">
        <v>30</v>
      </c>
      <c r="G324">
        <v>91</v>
      </c>
      <c r="H324">
        <v>34</v>
      </c>
      <c r="I324" s="1">
        <v>2.5</v>
      </c>
      <c r="J324" s="2">
        <v>45484</v>
      </c>
      <c r="K324" s="2">
        <v>45614</v>
      </c>
      <c r="L324" s="2">
        <v>45418</v>
      </c>
      <c r="M324" t="s">
        <v>1329</v>
      </c>
      <c r="N324">
        <v>97</v>
      </c>
      <c r="O324">
        <v>88</v>
      </c>
      <c r="P324" t="s">
        <v>44</v>
      </c>
      <c r="Q324" t="str">
        <f t="shared" si="19"/>
        <v>Expiry before Received</v>
      </c>
      <c r="R324" s="3">
        <f t="shared" si="21"/>
        <v>75</v>
      </c>
      <c r="S324">
        <f t="shared" si="20"/>
        <v>61</v>
      </c>
      <c r="T324" t="str">
        <f t="shared" si="22"/>
        <v>Reorder Required</v>
      </c>
    </row>
    <row r="325" spans="1:20" x14ac:dyDescent="0.3">
      <c r="A325" t="s">
        <v>1330</v>
      </c>
      <c r="B325" t="s">
        <v>28</v>
      </c>
      <c r="C325" t="s">
        <v>29</v>
      </c>
      <c r="D325" t="s">
        <v>1331</v>
      </c>
      <c r="E325" t="s">
        <v>806</v>
      </c>
      <c r="F325">
        <v>36</v>
      </c>
      <c r="G325">
        <v>64</v>
      </c>
      <c r="H325">
        <v>63</v>
      </c>
      <c r="I325" s="1">
        <v>20</v>
      </c>
      <c r="J325" s="2">
        <v>45366</v>
      </c>
      <c r="K325" s="2">
        <v>45706</v>
      </c>
      <c r="L325" s="2">
        <v>45381</v>
      </c>
      <c r="M325" t="s">
        <v>1332</v>
      </c>
      <c r="N325">
        <v>91</v>
      </c>
      <c r="O325">
        <v>35</v>
      </c>
      <c r="P325" t="s">
        <v>38</v>
      </c>
      <c r="Q325" t="str">
        <f t="shared" si="19"/>
        <v>OK</v>
      </c>
      <c r="R325" s="3">
        <f t="shared" si="21"/>
        <v>720</v>
      </c>
      <c r="S325">
        <f t="shared" si="20"/>
        <v>28</v>
      </c>
      <c r="T325" t="str">
        <f t="shared" si="22"/>
        <v>Reorder Required</v>
      </c>
    </row>
    <row r="326" spans="1:20" x14ac:dyDescent="0.3">
      <c r="A326" t="s">
        <v>1333</v>
      </c>
      <c r="B326" t="s">
        <v>1125</v>
      </c>
      <c r="C326" t="s">
        <v>47</v>
      </c>
      <c r="D326" t="s">
        <v>1334</v>
      </c>
      <c r="E326" t="s">
        <v>1335</v>
      </c>
      <c r="F326">
        <v>88</v>
      </c>
      <c r="G326">
        <v>27</v>
      </c>
      <c r="H326">
        <v>92</v>
      </c>
      <c r="I326" s="1">
        <v>5.5</v>
      </c>
      <c r="J326" s="2">
        <v>45623</v>
      </c>
      <c r="K326" s="2">
        <v>45412</v>
      </c>
      <c r="L326" s="2">
        <v>45465</v>
      </c>
      <c r="M326" t="s">
        <v>1336</v>
      </c>
      <c r="N326">
        <v>57</v>
      </c>
      <c r="O326">
        <v>37</v>
      </c>
      <c r="P326" t="s">
        <v>26</v>
      </c>
      <c r="Q326" t="str">
        <f t="shared" si="19"/>
        <v>Expiry before Received</v>
      </c>
      <c r="R326" s="3">
        <f t="shared" si="21"/>
        <v>484</v>
      </c>
      <c r="S326">
        <f t="shared" si="20"/>
        <v>0</v>
      </c>
      <c r="T326" t="str">
        <f t="shared" si="22"/>
        <v>Sufficient Stock</v>
      </c>
    </row>
    <row r="327" spans="1:20" x14ac:dyDescent="0.3">
      <c r="A327" t="s">
        <v>1337</v>
      </c>
      <c r="B327" t="s">
        <v>537</v>
      </c>
      <c r="C327" t="s">
        <v>47</v>
      </c>
      <c r="D327" t="s">
        <v>1338</v>
      </c>
      <c r="E327" t="s">
        <v>105</v>
      </c>
      <c r="F327">
        <v>95</v>
      </c>
      <c r="G327">
        <v>25</v>
      </c>
      <c r="H327">
        <v>91</v>
      </c>
      <c r="I327" s="1">
        <v>53.82</v>
      </c>
      <c r="J327" s="2">
        <v>45539</v>
      </c>
      <c r="K327" s="2">
        <v>45406</v>
      </c>
      <c r="L327" s="2">
        <v>45583</v>
      </c>
      <c r="M327" t="s">
        <v>1339</v>
      </c>
      <c r="N327">
        <v>87</v>
      </c>
      <c r="O327">
        <v>5</v>
      </c>
      <c r="P327" t="s">
        <v>26</v>
      </c>
      <c r="Q327" t="str">
        <f t="shared" ref="Q327:Q390" si="23">IF(L327&lt;J327,"Expiry before Received",IF(K327&lt;J327,"Last Order before Received","OK"))</f>
        <v>Last Order before Received</v>
      </c>
      <c r="R327" s="3">
        <f t="shared" si="21"/>
        <v>5112.8999999999996</v>
      </c>
      <c r="S327">
        <f t="shared" si="20"/>
        <v>0</v>
      </c>
      <c r="T327" t="str">
        <f t="shared" si="22"/>
        <v>Sufficient Stock</v>
      </c>
    </row>
    <row r="328" spans="1:20" x14ac:dyDescent="0.3">
      <c r="A328" t="s">
        <v>1340</v>
      </c>
      <c r="B328" t="s">
        <v>349</v>
      </c>
      <c r="C328" t="s">
        <v>47</v>
      </c>
      <c r="D328" t="s">
        <v>1341</v>
      </c>
      <c r="E328" t="s">
        <v>1342</v>
      </c>
      <c r="F328">
        <v>30</v>
      </c>
      <c r="G328">
        <v>59</v>
      </c>
      <c r="H328">
        <v>76</v>
      </c>
      <c r="I328" s="1">
        <v>4</v>
      </c>
      <c r="J328" s="2">
        <v>45371</v>
      </c>
      <c r="K328" s="2">
        <v>45671</v>
      </c>
      <c r="L328" s="2">
        <v>45393</v>
      </c>
      <c r="M328" t="s">
        <v>1343</v>
      </c>
      <c r="N328">
        <v>61</v>
      </c>
      <c r="O328">
        <v>3</v>
      </c>
      <c r="P328" t="s">
        <v>26</v>
      </c>
      <c r="Q328" t="str">
        <f t="shared" si="23"/>
        <v>OK</v>
      </c>
      <c r="R328" s="3">
        <f t="shared" si="21"/>
        <v>120</v>
      </c>
      <c r="S328">
        <f t="shared" si="20"/>
        <v>29</v>
      </c>
      <c r="T328" t="str">
        <f t="shared" si="22"/>
        <v>Reorder Required</v>
      </c>
    </row>
    <row r="329" spans="1:20" x14ac:dyDescent="0.3">
      <c r="A329" t="s">
        <v>1344</v>
      </c>
      <c r="B329" t="s">
        <v>137</v>
      </c>
      <c r="C329" t="s">
        <v>47</v>
      </c>
      <c r="D329" t="s">
        <v>1345</v>
      </c>
      <c r="E329" t="s">
        <v>951</v>
      </c>
      <c r="F329">
        <v>31</v>
      </c>
      <c r="G329">
        <v>55</v>
      </c>
      <c r="H329">
        <v>5</v>
      </c>
      <c r="I329" s="1">
        <v>2</v>
      </c>
      <c r="J329" s="2">
        <v>45545</v>
      </c>
      <c r="K329" s="2">
        <v>45706</v>
      </c>
      <c r="L329" s="2">
        <v>45594</v>
      </c>
      <c r="M329" t="s">
        <v>1346</v>
      </c>
      <c r="N329">
        <v>71</v>
      </c>
      <c r="O329">
        <v>46</v>
      </c>
      <c r="P329" t="s">
        <v>44</v>
      </c>
      <c r="Q329" t="str">
        <f t="shared" si="23"/>
        <v>OK</v>
      </c>
      <c r="R329" s="3">
        <f t="shared" si="21"/>
        <v>62</v>
      </c>
      <c r="S329">
        <f t="shared" si="20"/>
        <v>24</v>
      </c>
      <c r="T329" t="str">
        <f t="shared" si="22"/>
        <v>Reorder Required</v>
      </c>
    </row>
    <row r="330" spans="1:20" x14ac:dyDescent="0.3">
      <c r="A330" t="s">
        <v>1347</v>
      </c>
      <c r="B330" t="s">
        <v>532</v>
      </c>
      <c r="C330" t="s">
        <v>132</v>
      </c>
      <c r="D330" t="s">
        <v>1348</v>
      </c>
      <c r="E330" t="s">
        <v>1082</v>
      </c>
      <c r="F330">
        <v>16</v>
      </c>
      <c r="G330">
        <v>20</v>
      </c>
      <c r="H330">
        <v>45</v>
      </c>
      <c r="I330" s="1">
        <v>8</v>
      </c>
      <c r="J330" s="2">
        <v>45412</v>
      </c>
      <c r="K330" s="2">
        <v>45583</v>
      </c>
      <c r="L330" s="2">
        <v>45450</v>
      </c>
      <c r="M330" t="s">
        <v>1349</v>
      </c>
      <c r="N330">
        <v>81</v>
      </c>
      <c r="O330">
        <v>62</v>
      </c>
      <c r="P330" t="s">
        <v>44</v>
      </c>
      <c r="Q330" t="str">
        <f t="shared" si="23"/>
        <v>OK</v>
      </c>
      <c r="R330" s="3">
        <f t="shared" si="21"/>
        <v>128</v>
      </c>
      <c r="S330">
        <f t="shared" si="20"/>
        <v>4</v>
      </c>
      <c r="T330" t="str">
        <f t="shared" si="22"/>
        <v>Reorder Required</v>
      </c>
    </row>
    <row r="331" spans="1:20" x14ac:dyDescent="0.3">
      <c r="A331" t="s">
        <v>1350</v>
      </c>
      <c r="B331" t="s">
        <v>83</v>
      </c>
      <c r="C331" t="s">
        <v>22</v>
      </c>
      <c r="D331" t="s">
        <v>1351</v>
      </c>
      <c r="E331" t="s">
        <v>1352</v>
      </c>
      <c r="F331">
        <v>14</v>
      </c>
      <c r="G331">
        <v>16</v>
      </c>
      <c r="H331">
        <v>93</v>
      </c>
      <c r="I331" s="1">
        <v>2</v>
      </c>
      <c r="J331" s="2">
        <v>45496</v>
      </c>
      <c r="K331" s="2">
        <v>45354</v>
      </c>
      <c r="L331" s="2">
        <v>45464</v>
      </c>
      <c r="M331" t="s">
        <v>1353</v>
      </c>
      <c r="N331">
        <v>39</v>
      </c>
      <c r="O331">
        <v>30</v>
      </c>
      <c r="P331" t="s">
        <v>44</v>
      </c>
      <c r="Q331" t="str">
        <f t="shared" si="23"/>
        <v>Expiry before Received</v>
      </c>
      <c r="R331" s="3">
        <f t="shared" si="21"/>
        <v>28</v>
      </c>
      <c r="S331">
        <f t="shared" si="20"/>
        <v>2</v>
      </c>
      <c r="T331" t="str">
        <f t="shared" si="22"/>
        <v>Reorder Required</v>
      </c>
    </row>
    <row r="332" spans="1:20" x14ac:dyDescent="0.3">
      <c r="A332" t="s">
        <v>1354</v>
      </c>
      <c r="B332" t="s">
        <v>1268</v>
      </c>
      <c r="C332" t="s">
        <v>47</v>
      </c>
      <c r="D332" t="s">
        <v>1355</v>
      </c>
      <c r="E332" t="s">
        <v>452</v>
      </c>
      <c r="F332">
        <v>44</v>
      </c>
      <c r="G332">
        <v>67</v>
      </c>
      <c r="H332">
        <v>15</v>
      </c>
      <c r="I332" s="1">
        <v>2.5</v>
      </c>
      <c r="J332" s="2">
        <v>45364</v>
      </c>
      <c r="K332" s="2">
        <v>45361</v>
      </c>
      <c r="L332" s="2">
        <v>45374</v>
      </c>
      <c r="M332" t="s">
        <v>1356</v>
      </c>
      <c r="N332">
        <v>82</v>
      </c>
      <c r="O332">
        <v>51</v>
      </c>
      <c r="P332" t="s">
        <v>44</v>
      </c>
      <c r="Q332" t="str">
        <f t="shared" si="23"/>
        <v>Last Order before Received</v>
      </c>
      <c r="R332" s="3">
        <f t="shared" si="21"/>
        <v>110</v>
      </c>
      <c r="S332">
        <f t="shared" si="20"/>
        <v>23</v>
      </c>
      <c r="T332" t="str">
        <f t="shared" si="22"/>
        <v>Reorder Required</v>
      </c>
    </row>
    <row r="333" spans="1:20" x14ac:dyDescent="0.3">
      <c r="A333" t="s">
        <v>1357</v>
      </c>
      <c r="B333" t="s">
        <v>40</v>
      </c>
      <c r="C333" t="s">
        <v>22</v>
      </c>
      <c r="D333" t="s">
        <v>1358</v>
      </c>
      <c r="E333" t="s">
        <v>1004</v>
      </c>
      <c r="F333">
        <v>69</v>
      </c>
      <c r="G333">
        <v>82</v>
      </c>
      <c r="H333">
        <v>58</v>
      </c>
      <c r="I333" s="1">
        <v>1.5</v>
      </c>
      <c r="J333" s="2">
        <v>45480</v>
      </c>
      <c r="K333" s="2">
        <v>45411</v>
      </c>
      <c r="L333" s="2">
        <v>45412</v>
      </c>
      <c r="M333" t="s">
        <v>1359</v>
      </c>
      <c r="N333">
        <v>34</v>
      </c>
      <c r="O333">
        <v>22</v>
      </c>
      <c r="P333" t="s">
        <v>26</v>
      </c>
      <c r="Q333" t="str">
        <f t="shared" si="23"/>
        <v>Expiry before Received</v>
      </c>
      <c r="R333" s="3">
        <f t="shared" si="21"/>
        <v>103.5</v>
      </c>
      <c r="S333">
        <f t="shared" si="20"/>
        <v>13</v>
      </c>
      <c r="T333" t="str">
        <f t="shared" si="22"/>
        <v>Reorder Required</v>
      </c>
    </row>
    <row r="334" spans="1:20" x14ac:dyDescent="0.3">
      <c r="A334" t="s">
        <v>1360</v>
      </c>
      <c r="B334" t="s">
        <v>40</v>
      </c>
      <c r="C334" t="s">
        <v>22</v>
      </c>
      <c r="D334" t="s">
        <v>1361</v>
      </c>
      <c r="E334" t="s">
        <v>1093</v>
      </c>
      <c r="F334">
        <v>71</v>
      </c>
      <c r="G334">
        <v>10</v>
      </c>
      <c r="H334">
        <v>49</v>
      </c>
      <c r="I334" s="1">
        <v>1.5</v>
      </c>
      <c r="J334" s="2">
        <v>45515</v>
      </c>
      <c r="K334" s="2">
        <v>45367</v>
      </c>
      <c r="L334" s="2">
        <v>45438</v>
      </c>
      <c r="M334" t="s">
        <v>1362</v>
      </c>
      <c r="N334">
        <v>66</v>
      </c>
      <c r="O334">
        <v>43</v>
      </c>
      <c r="P334" t="s">
        <v>44</v>
      </c>
      <c r="Q334" t="str">
        <f t="shared" si="23"/>
        <v>Expiry before Received</v>
      </c>
      <c r="R334" s="3">
        <f t="shared" si="21"/>
        <v>106.5</v>
      </c>
      <c r="S334">
        <f t="shared" si="20"/>
        <v>0</v>
      </c>
      <c r="T334" t="str">
        <f t="shared" si="22"/>
        <v>Sufficient Stock</v>
      </c>
    </row>
    <row r="335" spans="1:20" x14ac:dyDescent="0.3">
      <c r="A335" t="s">
        <v>1363</v>
      </c>
      <c r="B335" t="s">
        <v>311</v>
      </c>
      <c r="C335" t="s">
        <v>47</v>
      </c>
      <c r="D335" t="s">
        <v>1364</v>
      </c>
      <c r="E335" t="s">
        <v>489</v>
      </c>
      <c r="F335">
        <v>92</v>
      </c>
      <c r="G335">
        <v>39</v>
      </c>
      <c r="H335">
        <v>50</v>
      </c>
      <c r="I335" s="1">
        <v>1.6</v>
      </c>
      <c r="J335" s="2">
        <v>45653</v>
      </c>
      <c r="K335" s="2">
        <v>45633</v>
      </c>
      <c r="L335" s="2">
        <v>45605</v>
      </c>
      <c r="M335" t="s">
        <v>1365</v>
      </c>
      <c r="N335">
        <v>30</v>
      </c>
      <c r="O335">
        <v>41</v>
      </c>
      <c r="P335" t="s">
        <v>38</v>
      </c>
      <c r="Q335" t="str">
        <f t="shared" si="23"/>
        <v>Expiry before Received</v>
      </c>
      <c r="R335" s="3">
        <f t="shared" si="21"/>
        <v>147.20000000000002</v>
      </c>
      <c r="S335">
        <f t="shared" si="20"/>
        <v>0</v>
      </c>
      <c r="T335" t="str">
        <f t="shared" si="22"/>
        <v>Sufficient Stock</v>
      </c>
    </row>
    <row r="336" spans="1:20" x14ac:dyDescent="0.3">
      <c r="A336" t="s">
        <v>1366</v>
      </c>
      <c r="B336" t="s">
        <v>435</v>
      </c>
      <c r="C336" t="s">
        <v>58</v>
      </c>
      <c r="D336" t="s">
        <v>1367</v>
      </c>
      <c r="E336" t="s">
        <v>100</v>
      </c>
      <c r="F336">
        <v>49</v>
      </c>
      <c r="G336">
        <v>17</v>
      </c>
      <c r="H336">
        <v>54</v>
      </c>
      <c r="I336" s="1">
        <v>4</v>
      </c>
      <c r="J336" s="2">
        <v>45558</v>
      </c>
      <c r="K336" s="2">
        <v>45626</v>
      </c>
      <c r="L336" s="2">
        <v>45623</v>
      </c>
      <c r="M336" t="s">
        <v>1368</v>
      </c>
      <c r="N336">
        <v>45</v>
      </c>
      <c r="O336">
        <v>96</v>
      </c>
      <c r="P336" t="s">
        <v>26</v>
      </c>
      <c r="Q336" t="str">
        <f t="shared" si="23"/>
        <v>OK</v>
      </c>
      <c r="R336" s="3">
        <f t="shared" si="21"/>
        <v>196</v>
      </c>
      <c r="S336">
        <f t="shared" si="20"/>
        <v>0</v>
      </c>
      <c r="T336" t="str">
        <f t="shared" si="22"/>
        <v>Sufficient Stock</v>
      </c>
    </row>
    <row r="337" spans="1:20" x14ac:dyDescent="0.3">
      <c r="A337" t="s">
        <v>1369</v>
      </c>
      <c r="B337" t="s">
        <v>545</v>
      </c>
      <c r="C337" t="s">
        <v>47</v>
      </c>
      <c r="D337" t="s">
        <v>1370</v>
      </c>
      <c r="E337" t="s">
        <v>897</v>
      </c>
      <c r="F337">
        <v>52</v>
      </c>
      <c r="G337">
        <v>8</v>
      </c>
      <c r="H337">
        <v>37</v>
      </c>
      <c r="I337" s="1">
        <v>6</v>
      </c>
      <c r="J337" s="2">
        <v>45535</v>
      </c>
      <c r="K337" s="2">
        <v>45519</v>
      </c>
      <c r="L337" s="2">
        <v>45520</v>
      </c>
      <c r="M337" t="s">
        <v>1371</v>
      </c>
      <c r="N337">
        <v>38</v>
      </c>
      <c r="O337">
        <v>81</v>
      </c>
      <c r="P337" t="s">
        <v>44</v>
      </c>
      <c r="Q337" t="str">
        <f t="shared" si="23"/>
        <v>Expiry before Received</v>
      </c>
      <c r="R337" s="3">
        <f t="shared" si="21"/>
        <v>312</v>
      </c>
      <c r="S337">
        <f t="shared" si="20"/>
        <v>0</v>
      </c>
      <c r="T337" t="str">
        <f t="shared" si="22"/>
        <v>Sufficient Stock</v>
      </c>
    </row>
    <row r="338" spans="1:20" x14ac:dyDescent="0.3">
      <c r="A338" t="s">
        <v>1372</v>
      </c>
      <c r="B338" t="s">
        <v>728</v>
      </c>
      <c r="C338" t="s">
        <v>64</v>
      </c>
      <c r="D338" t="s">
        <v>1373</v>
      </c>
      <c r="E338" t="s">
        <v>1374</v>
      </c>
      <c r="F338">
        <v>56</v>
      </c>
      <c r="G338">
        <v>97</v>
      </c>
      <c r="H338">
        <v>29</v>
      </c>
      <c r="I338" s="1">
        <v>2.5</v>
      </c>
      <c r="J338" s="2">
        <v>45350</v>
      </c>
      <c r="K338" s="2">
        <v>45490</v>
      </c>
      <c r="L338" s="2">
        <v>45625</v>
      </c>
      <c r="M338" t="s">
        <v>1375</v>
      </c>
      <c r="N338">
        <v>82</v>
      </c>
      <c r="O338">
        <v>100</v>
      </c>
      <c r="P338" t="s">
        <v>38</v>
      </c>
      <c r="Q338" t="str">
        <f t="shared" si="23"/>
        <v>OK</v>
      </c>
      <c r="R338" s="3">
        <f t="shared" si="21"/>
        <v>140</v>
      </c>
      <c r="S338">
        <f t="shared" si="20"/>
        <v>41</v>
      </c>
      <c r="T338" t="str">
        <f t="shared" si="22"/>
        <v>Reorder Required</v>
      </c>
    </row>
    <row r="339" spans="1:20" x14ac:dyDescent="0.3">
      <c r="A339" t="s">
        <v>1376</v>
      </c>
      <c r="B339" t="s">
        <v>98</v>
      </c>
      <c r="C339" t="s">
        <v>47</v>
      </c>
      <c r="D339" t="s">
        <v>1377</v>
      </c>
      <c r="E339" t="s">
        <v>684</v>
      </c>
      <c r="F339">
        <v>16</v>
      </c>
      <c r="G339">
        <v>23</v>
      </c>
      <c r="H339">
        <v>76</v>
      </c>
      <c r="I339" s="1">
        <v>6.1</v>
      </c>
      <c r="J339" s="2">
        <v>45494</v>
      </c>
      <c r="K339" s="2">
        <v>45697</v>
      </c>
      <c r="L339" s="2">
        <v>45696</v>
      </c>
      <c r="M339" t="s">
        <v>1378</v>
      </c>
      <c r="N339">
        <v>50</v>
      </c>
      <c r="O339">
        <v>27</v>
      </c>
      <c r="P339" t="s">
        <v>38</v>
      </c>
      <c r="Q339" t="str">
        <f t="shared" si="23"/>
        <v>OK</v>
      </c>
      <c r="R339" s="3">
        <f t="shared" si="21"/>
        <v>97.6</v>
      </c>
      <c r="S339">
        <f t="shared" si="20"/>
        <v>7</v>
      </c>
      <c r="T339" t="str">
        <f t="shared" si="22"/>
        <v>Reorder Required</v>
      </c>
    </row>
    <row r="340" spans="1:20" x14ac:dyDescent="0.3">
      <c r="A340" t="s">
        <v>1379</v>
      </c>
      <c r="B340" t="s">
        <v>214</v>
      </c>
      <c r="C340" t="s">
        <v>47</v>
      </c>
      <c r="D340" t="s">
        <v>1380</v>
      </c>
      <c r="E340" t="s">
        <v>712</v>
      </c>
      <c r="F340">
        <v>52</v>
      </c>
      <c r="G340">
        <v>79</v>
      </c>
      <c r="H340">
        <v>87</v>
      </c>
      <c r="I340" s="1">
        <v>2.5</v>
      </c>
      <c r="J340" s="2">
        <v>45454</v>
      </c>
      <c r="K340" s="2">
        <v>45386</v>
      </c>
      <c r="L340" s="2">
        <v>45361</v>
      </c>
      <c r="M340" t="s">
        <v>1381</v>
      </c>
      <c r="N340">
        <v>36</v>
      </c>
      <c r="O340">
        <v>100</v>
      </c>
      <c r="P340" t="s">
        <v>26</v>
      </c>
      <c r="Q340" t="str">
        <f t="shared" si="23"/>
        <v>Expiry before Received</v>
      </c>
      <c r="R340" s="3">
        <f t="shared" si="21"/>
        <v>130</v>
      </c>
      <c r="S340">
        <f t="shared" si="20"/>
        <v>27</v>
      </c>
      <c r="T340" t="str">
        <f t="shared" si="22"/>
        <v>Reorder Required</v>
      </c>
    </row>
    <row r="341" spans="1:20" x14ac:dyDescent="0.3">
      <c r="A341" t="s">
        <v>1382</v>
      </c>
      <c r="B341" t="s">
        <v>131</v>
      </c>
      <c r="C341" t="s">
        <v>132</v>
      </c>
      <c r="D341" t="s">
        <v>1383</v>
      </c>
      <c r="E341" t="s">
        <v>253</v>
      </c>
      <c r="F341">
        <v>91</v>
      </c>
      <c r="G341">
        <v>68</v>
      </c>
      <c r="H341">
        <v>80</v>
      </c>
      <c r="I341" s="1">
        <v>11.5</v>
      </c>
      <c r="J341" s="2">
        <v>45516</v>
      </c>
      <c r="K341" s="2">
        <v>45579</v>
      </c>
      <c r="L341" s="2">
        <v>45615</v>
      </c>
      <c r="M341" t="s">
        <v>1384</v>
      </c>
      <c r="N341">
        <v>81</v>
      </c>
      <c r="O341">
        <v>85</v>
      </c>
      <c r="P341" t="s">
        <v>38</v>
      </c>
      <c r="Q341" t="str">
        <f t="shared" si="23"/>
        <v>OK</v>
      </c>
      <c r="R341" s="3">
        <f t="shared" si="21"/>
        <v>1046.5</v>
      </c>
      <c r="S341">
        <f t="shared" si="20"/>
        <v>0</v>
      </c>
      <c r="T341" t="str">
        <f t="shared" si="22"/>
        <v>Sufficient Stock</v>
      </c>
    </row>
    <row r="342" spans="1:20" x14ac:dyDescent="0.3">
      <c r="A342" t="s">
        <v>1385</v>
      </c>
      <c r="B342" t="s">
        <v>224</v>
      </c>
      <c r="C342" t="s">
        <v>47</v>
      </c>
      <c r="D342" t="s">
        <v>1386</v>
      </c>
      <c r="E342" t="s">
        <v>1387</v>
      </c>
      <c r="F342">
        <v>58</v>
      </c>
      <c r="G342">
        <v>58</v>
      </c>
      <c r="H342">
        <v>28</v>
      </c>
      <c r="I342" s="1">
        <v>4.7</v>
      </c>
      <c r="J342" s="2">
        <v>45369</v>
      </c>
      <c r="K342" s="2">
        <v>45509</v>
      </c>
      <c r="L342" s="2">
        <v>45686</v>
      </c>
      <c r="M342" t="s">
        <v>1388</v>
      </c>
      <c r="N342">
        <v>85</v>
      </c>
      <c r="O342">
        <v>63</v>
      </c>
      <c r="P342" t="s">
        <v>44</v>
      </c>
      <c r="Q342" t="str">
        <f t="shared" si="23"/>
        <v>OK</v>
      </c>
      <c r="R342" s="3">
        <f t="shared" si="21"/>
        <v>272.60000000000002</v>
      </c>
      <c r="S342">
        <f t="shared" si="20"/>
        <v>0</v>
      </c>
      <c r="T342" t="str">
        <f t="shared" si="22"/>
        <v>Sufficient Stock</v>
      </c>
    </row>
    <row r="343" spans="1:20" x14ac:dyDescent="0.3">
      <c r="A343" t="s">
        <v>1389</v>
      </c>
      <c r="B343" t="s">
        <v>1166</v>
      </c>
      <c r="C343" t="s">
        <v>132</v>
      </c>
      <c r="D343" t="s">
        <v>1390</v>
      </c>
      <c r="E343" t="s">
        <v>1391</v>
      </c>
      <c r="F343">
        <v>47</v>
      </c>
      <c r="G343">
        <v>29</v>
      </c>
      <c r="H343">
        <v>70</v>
      </c>
      <c r="I343" s="1">
        <v>20</v>
      </c>
      <c r="J343" s="2">
        <v>45513</v>
      </c>
      <c r="K343" s="2">
        <v>45633</v>
      </c>
      <c r="L343" s="2">
        <v>45498</v>
      </c>
      <c r="M343" t="s">
        <v>1392</v>
      </c>
      <c r="N343">
        <v>61</v>
      </c>
      <c r="O343">
        <v>44</v>
      </c>
      <c r="P343" t="s">
        <v>44</v>
      </c>
      <c r="Q343" t="str">
        <f t="shared" si="23"/>
        <v>Expiry before Received</v>
      </c>
      <c r="R343" s="3">
        <f t="shared" si="21"/>
        <v>940</v>
      </c>
      <c r="S343">
        <f t="shared" si="20"/>
        <v>0</v>
      </c>
      <c r="T343" t="str">
        <f t="shared" si="22"/>
        <v>Sufficient Stock</v>
      </c>
    </row>
    <row r="344" spans="1:20" x14ac:dyDescent="0.3">
      <c r="A344" t="s">
        <v>1393</v>
      </c>
      <c r="B344" t="s">
        <v>88</v>
      </c>
      <c r="C344" t="s">
        <v>89</v>
      </c>
      <c r="D344" t="s">
        <v>1394</v>
      </c>
      <c r="E344" t="s">
        <v>1395</v>
      </c>
      <c r="F344">
        <v>50</v>
      </c>
      <c r="G344">
        <v>56</v>
      </c>
      <c r="H344">
        <v>63</v>
      </c>
      <c r="I344" s="1">
        <v>3</v>
      </c>
      <c r="J344" s="2">
        <v>45378</v>
      </c>
      <c r="K344" s="2">
        <v>45428</v>
      </c>
      <c r="L344" s="2">
        <v>45552</v>
      </c>
      <c r="M344" t="s">
        <v>1396</v>
      </c>
      <c r="N344">
        <v>70</v>
      </c>
      <c r="O344">
        <v>100</v>
      </c>
      <c r="P344" t="s">
        <v>26</v>
      </c>
      <c r="Q344" t="str">
        <f t="shared" si="23"/>
        <v>OK</v>
      </c>
      <c r="R344" s="3">
        <f t="shared" si="21"/>
        <v>150</v>
      </c>
      <c r="S344">
        <f t="shared" si="20"/>
        <v>6</v>
      </c>
      <c r="T344" t="str">
        <f t="shared" si="22"/>
        <v>Reorder Required</v>
      </c>
    </row>
    <row r="345" spans="1:20" x14ac:dyDescent="0.3">
      <c r="A345" t="s">
        <v>1397</v>
      </c>
      <c r="B345" t="s">
        <v>645</v>
      </c>
      <c r="C345" t="s">
        <v>64</v>
      </c>
      <c r="D345" t="s">
        <v>1398</v>
      </c>
      <c r="E345" t="s">
        <v>100</v>
      </c>
      <c r="F345">
        <v>43</v>
      </c>
      <c r="G345">
        <v>73</v>
      </c>
      <c r="H345">
        <v>14</v>
      </c>
      <c r="I345" s="1">
        <v>4</v>
      </c>
      <c r="J345" s="2">
        <v>45501</v>
      </c>
      <c r="K345" s="2">
        <v>45542</v>
      </c>
      <c r="L345" s="2">
        <v>45530</v>
      </c>
      <c r="M345" t="s">
        <v>1399</v>
      </c>
      <c r="N345">
        <v>59</v>
      </c>
      <c r="O345">
        <v>65</v>
      </c>
      <c r="P345" t="s">
        <v>44</v>
      </c>
      <c r="Q345" t="str">
        <f t="shared" si="23"/>
        <v>OK</v>
      </c>
      <c r="R345" s="3">
        <f t="shared" si="21"/>
        <v>172</v>
      </c>
      <c r="S345">
        <f t="shared" si="20"/>
        <v>30</v>
      </c>
      <c r="T345" t="str">
        <f t="shared" si="22"/>
        <v>Reorder Required</v>
      </c>
    </row>
    <row r="346" spans="1:20" x14ac:dyDescent="0.3">
      <c r="A346" t="s">
        <v>1400</v>
      </c>
      <c r="B346" t="s">
        <v>719</v>
      </c>
      <c r="C346" t="s">
        <v>64</v>
      </c>
      <c r="D346" t="s">
        <v>1401</v>
      </c>
      <c r="E346" t="s">
        <v>1311</v>
      </c>
      <c r="F346">
        <v>68</v>
      </c>
      <c r="G346">
        <v>60</v>
      </c>
      <c r="H346">
        <v>21</v>
      </c>
      <c r="I346" s="1">
        <v>8.9</v>
      </c>
      <c r="J346" s="2">
        <v>45349</v>
      </c>
      <c r="K346" s="2">
        <v>45567</v>
      </c>
      <c r="L346" s="2">
        <v>45411</v>
      </c>
      <c r="M346" t="s">
        <v>1402</v>
      </c>
      <c r="N346">
        <v>79</v>
      </c>
      <c r="O346">
        <v>46</v>
      </c>
      <c r="P346" t="s">
        <v>44</v>
      </c>
      <c r="Q346" t="str">
        <f t="shared" si="23"/>
        <v>OK</v>
      </c>
      <c r="R346" s="3">
        <f t="shared" si="21"/>
        <v>605.20000000000005</v>
      </c>
      <c r="S346">
        <f t="shared" si="20"/>
        <v>0</v>
      </c>
      <c r="T346" t="str">
        <f t="shared" si="22"/>
        <v>Sufficient Stock</v>
      </c>
    </row>
    <row r="347" spans="1:20" x14ac:dyDescent="0.3">
      <c r="A347" t="s">
        <v>1403</v>
      </c>
      <c r="B347" t="s">
        <v>728</v>
      </c>
      <c r="C347" t="s">
        <v>64</v>
      </c>
      <c r="D347" t="s">
        <v>1404</v>
      </c>
      <c r="E347" t="s">
        <v>955</v>
      </c>
      <c r="F347">
        <v>19</v>
      </c>
      <c r="G347">
        <v>100</v>
      </c>
      <c r="H347">
        <v>83</v>
      </c>
      <c r="I347" s="1">
        <v>2.5</v>
      </c>
      <c r="J347" s="2">
        <v>45407</v>
      </c>
      <c r="K347" s="2">
        <v>45494</v>
      </c>
      <c r="L347" s="2">
        <v>45373</v>
      </c>
      <c r="M347" t="s">
        <v>1405</v>
      </c>
      <c r="N347">
        <v>66</v>
      </c>
      <c r="O347">
        <v>28</v>
      </c>
      <c r="P347" t="s">
        <v>26</v>
      </c>
      <c r="Q347" t="str">
        <f t="shared" si="23"/>
        <v>Expiry before Received</v>
      </c>
      <c r="R347" s="3">
        <f t="shared" si="21"/>
        <v>47.5</v>
      </c>
      <c r="S347">
        <f t="shared" si="20"/>
        <v>81</v>
      </c>
      <c r="T347" t="str">
        <f t="shared" si="22"/>
        <v>Reorder Required</v>
      </c>
    </row>
    <row r="348" spans="1:20" x14ac:dyDescent="0.3">
      <c r="A348" t="s">
        <v>1406</v>
      </c>
      <c r="B348" t="s">
        <v>113</v>
      </c>
      <c r="C348" t="s">
        <v>64</v>
      </c>
      <c r="D348" t="s">
        <v>1407</v>
      </c>
      <c r="E348" t="s">
        <v>1115</v>
      </c>
      <c r="F348">
        <v>70</v>
      </c>
      <c r="G348">
        <v>84</v>
      </c>
      <c r="H348">
        <v>72</v>
      </c>
      <c r="I348" s="1">
        <v>8</v>
      </c>
      <c r="J348" s="2">
        <v>45493</v>
      </c>
      <c r="K348" s="2">
        <v>45634</v>
      </c>
      <c r="L348" s="2">
        <v>45487</v>
      </c>
      <c r="M348" t="s">
        <v>1408</v>
      </c>
      <c r="N348">
        <v>71</v>
      </c>
      <c r="O348">
        <v>20</v>
      </c>
      <c r="P348" t="s">
        <v>44</v>
      </c>
      <c r="Q348" t="str">
        <f t="shared" si="23"/>
        <v>Expiry before Received</v>
      </c>
      <c r="R348" s="3">
        <f t="shared" si="21"/>
        <v>560</v>
      </c>
      <c r="S348">
        <f t="shared" si="20"/>
        <v>14</v>
      </c>
      <c r="T348" t="str">
        <f t="shared" si="22"/>
        <v>Reorder Required</v>
      </c>
    </row>
    <row r="349" spans="1:20" x14ac:dyDescent="0.3">
      <c r="A349" t="s">
        <v>1409</v>
      </c>
      <c r="B349" t="s">
        <v>354</v>
      </c>
      <c r="C349" t="s">
        <v>47</v>
      </c>
      <c r="D349" t="s">
        <v>1410</v>
      </c>
      <c r="E349" t="s">
        <v>797</v>
      </c>
      <c r="F349">
        <v>97</v>
      </c>
      <c r="G349">
        <v>20</v>
      </c>
      <c r="H349">
        <v>72</v>
      </c>
      <c r="I349" s="1">
        <v>3</v>
      </c>
      <c r="J349" s="2">
        <v>45351</v>
      </c>
      <c r="K349" s="2">
        <v>45694</v>
      </c>
      <c r="L349" s="2">
        <v>45636</v>
      </c>
      <c r="M349" t="s">
        <v>1411</v>
      </c>
      <c r="N349">
        <v>29</v>
      </c>
      <c r="O349">
        <v>59</v>
      </c>
      <c r="P349" t="s">
        <v>38</v>
      </c>
      <c r="Q349" t="str">
        <f t="shared" si="23"/>
        <v>OK</v>
      </c>
      <c r="R349" s="3">
        <f t="shared" si="21"/>
        <v>291</v>
      </c>
      <c r="S349">
        <f t="shared" si="20"/>
        <v>0</v>
      </c>
      <c r="T349" t="str">
        <f t="shared" si="22"/>
        <v>Sufficient Stock</v>
      </c>
    </row>
    <row r="350" spans="1:20" x14ac:dyDescent="0.3">
      <c r="A350" t="s">
        <v>1412</v>
      </c>
      <c r="B350" t="s">
        <v>864</v>
      </c>
      <c r="C350" t="s">
        <v>58</v>
      </c>
      <c r="D350" t="s">
        <v>1413</v>
      </c>
      <c r="E350" t="s">
        <v>840</v>
      </c>
      <c r="F350">
        <v>87</v>
      </c>
      <c r="G350">
        <v>24</v>
      </c>
      <c r="H350">
        <v>19</v>
      </c>
      <c r="I350" s="1">
        <v>2.5</v>
      </c>
      <c r="J350" s="2">
        <v>45423</v>
      </c>
      <c r="K350" s="2">
        <v>45639</v>
      </c>
      <c r="L350" s="2">
        <v>45399</v>
      </c>
      <c r="M350" t="s">
        <v>1414</v>
      </c>
      <c r="N350">
        <v>83</v>
      </c>
      <c r="O350">
        <v>3</v>
      </c>
      <c r="P350" t="s">
        <v>26</v>
      </c>
      <c r="Q350" t="str">
        <f t="shared" si="23"/>
        <v>Expiry before Received</v>
      </c>
      <c r="R350" s="3">
        <f t="shared" si="21"/>
        <v>217.5</v>
      </c>
      <c r="S350">
        <f t="shared" si="20"/>
        <v>0</v>
      </c>
      <c r="T350" t="str">
        <f t="shared" si="22"/>
        <v>Sufficient Stock</v>
      </c>
    </row>
    <row r="351" spans="1:20" x14ac:dyDescent="0.3">
      <c r="A351" t="s">
        <v>1415</v>
      </c>
      <c r="B351" t="s">
        <v>336</v>
      </c>
      <c r="C351" t="s">
        <v>29</v>
      </c>
      <c r="D351" t="s">
        <v>1416</v>
      </c>
      <c r="E351" t="s">
        <v>962</v>
      </c>
      <c r="F351">
        <v>58</v>
      </c>
      <c r="G351">
        <v>81</v>
      </c>
      <c r="H351">
        <v>66</v>
      </c>
      <c r="I351" s="1">
        <v>25</v>
      </c>
      <c r="J351" s="2">
        <v>45467</v>
      </c>
      <c r="K351" s="2">
        <v>45701</v>
      </c>
      <c r="L351" s="2">
        <v>45659</v>
      </c>
      <c r="M351" t="s">
        <v>1417</v>
      </c>
      <c r="N351">
        <v>85</v>
      </c>
      <c r="O351">
        <v>78</v>
      </c>
      <c r="P351" t="s">
        <v>44</v>
      </c>
      <c r="Q351" t="str">
        <f t="shared" si="23"/>
        <v>OK</v>
      </c>
      <c r="R351" s="3">
        <f t="shared" si="21"/>
        <v>1450</v>
      </c>
      <c r="S351">
        <f t="shared" si="20"/>
        <v>23</v>
      </c>
      <c r="T351" t="str">
        <f t="shared" si="22"/>
        <v>Reorder Required</v>
      </c>
    </row>
    <row r="352" spans="1:20" x14ac:dyDescent="0.3">
      <c r="A352" t="s">
        <v>1418</v>
      </c>
      <c r="B352" t="s">
        <v>528</v>
      </c>
      <c r="C352" t="s">
        <v>47</v>
      </c>
      <c r="D352" t="s">
        <v>1419</v>
      </c>
      <c r="E352" t="s">
        <v>1420</v>
      </c>
      <c r="F352">
        <v>16</v>
      </c>
      <c r="G352">
        <v>53</v>
      </c>
      <c r="H352">
        <v>12</v>
      </c>
      <c r="I352" s="1">
        <v>5</v>
      </c>
      <c r="J352" s="2">
        <v>45454</v>
      </c>
      <c r="K352" s="2">
        <v>45677</v>
      </c>
      <c r="L352" s="2">
        <v>45449</v>
      </c>
      <c r="M352" t="s">
        <v>1421</v>
      </c>
      <c r="N352">
        <v>21</v>
      </c>
      <c r="O352">
        <v>29</v>
      </c>
      <c r="P352" t="s">
        <v>26</v>
      </c>
      <c r="Q352" t="str">
        <f t="shared" si="23"/>
        <v>Expiry before Received</v>
      </c>
      <c r="R352" s="3">
        <f t="shared" si="21"/>
        <v>80</v>
      </c>
      <c r="S352">
        <f t="shared" si="20"/>
        <v>37</v>
      </c>
      <c r="T352" t="str">
        <f t="shared" si="22"/>
        <v>Reorder Required</v>
      </c>
    </row>
    <row r="353" spans="1:20" x14ac:dyDescent="0.3">
      <c r="A353" t="s">
        <v>1422</v>
      </c>
      <c r="B353" t="s">
        <v>181</v>
      </c>
      <c r="C353" t="s">
        <v>47</v>
      </c>
      <c r="D353" t="s">
        <v>1423</v>
      </c>
      <c r="E353" t="s">
        <v>1115</v>
      </c>
      <c r="F353">
        <v>65</v>
      </c>
      <c r="G353">
        <v>35</v>
      </c>
      <c r="H353">
        <v>3</v>
      </c>
      <c r="I353" s="1">
        <v>3.5</v>
      </c>
      <c r="J353" s="2">
        <v>45515</v>
      </c>
      <c r="K353" s="2">
        <v>45675</v>
      </c>
      <c r="L353" s="2">
        <v>45562</v>
      </c>
      <c r="M353" t="s">
        <v>1424</v>
      </c>
      <c r="N353">
        <v>25</v>
      </c>
      <c r="O353">
        <v>13</v>
      </c>
      <c r="P353" t="s">
        <v>44</v>
      </c>
      <c r="Q353" t="str">
        <f t="shared" si="23"/>
        <v>OK</v>
      </c>
      <c r="R353" s="3">
        <f t="shared" si="21"/>
        <v>227.5</v>
      </c>
      <c r="S353">
        <f t="shared" si="20"/>
        <v>0</v>
      </c>
      <c r="T353" t="str">
        <f t="shared" si="22"/>
        <v>Sufficient Stock</v>
      </c>
    </row>
    <row r="354" spans="1:20" x14ac:dyDescent="0.3">
      <c r="A354" t="s">
        <v>1425</v>
      </c>
      <c r="B354" t="s">
        <v>828</v>
      </c>
      <c r="C354" t="s">
        <v>22</v>
      </c>
      <c r="D354" t="s">
        <v>1426</v>
      </c>
      <c r="E354" t="s">
        <v>634</v>
      </c>
      <c r="F354">
        <v>15</v>
      </c>
      <c r="G354">
        <v>49</v>
      </c>
      <c r="H354">
        <v>40</v>
      </c>
      <c r="I354" s="1">
        <v>4.5</v>
      </c>
      <c r="J354" s="2">
        <v>45632</v>
      </c>
      <c r="K354" s="2">
        <v>45457</v>
      </c>
      <c r="L354" s="2">
        <v>45549</v>
      </c>
      <c r="M354" t="s">
        <v>1427</v>
      </c>
      <c r="N354">
        <v>68</v>
      </c>
      <c r="O354">
        <v>74</v>
      </c>
      <c r="P354" t="s">
        <v>26</v>
      </c>
      <c r="Q354" t="str">
        <f t="shared" si="23"/>
        <v>Expiry before Received</v>
      </c>
      <c r="R354" s="3">
        <f t="shared" si="21"/>
        <v>67.5</v>
      </c>
      <c r="S354">
        <f t="shared" si="20"/>
        <v>34</v>
      </c>
      <c r="T354" t="str">
        <f t="shared" si="22"/>
        <v>Reorder Required</v>
      </c>
    </row>
    <row r="355" spans="1:20" x14ac:dyDescent="0.3">
      <c r="A355" t="s">
        <v>1428</v>
      </c>
      <c r="B355" t="s">
        <v>368</v>
      </c>
      <c r="C355" t="s">
        <v>47</v>
      </c>
      <c r="D355" t="s">
        <v>1429</v>
      </c>
      <c r="E355" t="s">
        <v>1430</v>
      </c>
      <c r="F355">
        <v>75</v>
      </c>
      <c r="G355">
        <v>85</v>
      </c>
      <c r="H355">
        <v>27</v>
      </c>
      <c r="I355" s="1">
        <v>4.5</v>
      </c>
      <c r="J355" s="2">
        <v>45442</v>
      </c>
      <c r="K355" s="2">
        <v>45452</v>
      </c>
      <c r="L355" s="2">
        <v>45467</v>
      </c>
      <c r="M355" t="s">
        <v>1431</v>
      </c>
      <c r="N355">
        <v>26</v>
      </c>
      <c r="O355">
        <v>68</v>
      </c>
      <c r="P355" t="s">
        <v>26</v>
      </c>
      <c r="Q355" t="str">
        <f t="shared" si="23"/>
        <v>OK</v>
      </c>
      <c r="R355" s="3">
        <f t="shared" si="21"/>
        <v>337.5</v>
      </c>
      <c r="S355">
        <f t="shared" si="20"/>
        <v>10</v>
      </c>
      <c r="T355" t="str">
        <f t="shared" si="22"/>
        <v>Reorder Required</v>
      </c>
    </row>
    <row r="356" spans="1:20" x14ac:dyDescent="0.3">
      <c r="A356" t="s">
        <v>1432</v>
      </c>
      <c r="B356" t="s">
        <v>1433</v>
      </c>
      <c r="C356" t="s">
        <v>89</v>
      </c>
      <c r="D356" t="s">
        <v>1434</v>
      </c>
      <c r="E356" t="s">
        <v>1435</v>
      </c>
      <c r="F356">
        <v>80</v>
      </c>
      <c r="G356">
        <v>61</v>
      </c>
      <c r="H356">
        <v>23</v>
      </c>
      <c r="I356" s="1">
        <v>5.5</v>
      </c>
      <c r="J356" s="2">
        <v>45500</v>
      </c>
      <c r="K356" s="2">
        <v>45504</v>
      </c>
      <c r="L356" s="2">
        <v>45355</v>
      </c>
      <c r="M356" t="s">
        <v>1436</v>
      </c>
      <c r="N356">
        <v>63</v>
      </c>
      <c r="O356">
        <v>75</v>
      </c>
      <c r="P356" t="s">
        <v>38</v>
      </c>
      <c r="Q356" t="str">
        <f t="shared" si="23"/>
        <v>Expiry before Received</v>
      </c>
      <c r="R356" s="3">
        <f t="shared" si="21"/>
        <v>440</v>
      </c>
      <c r="S356">
        <f t="shared" si="20"/>
        <v>0</v>
      </c>
      <c r="T356" t="str">
        <f t="shared" si="22"/>
        <v>Sufficient Stock</v>
      </c>
    </row>
    <row r="357" spans="1:20" x14ac:dyDescent="0.3">
      <c r="A357" t="s">
        <v>1437</v>
      </c>
      <c r="B357" t="s">
        <v>274</v>
      </c>
      <c r="C357" t="s">
        <v>47</v>
      </c>
      <c r="D357" t="s">
        <v>1438</v>
      </c>
      <c r="E357" t="s">
        <v>1439</v>
      </c>
      <c r="F357">
        <v>84</v>
      </c>
      <c r="G357">
        <v>95</v>
      </c>
      <c r="H357">
        <v>22</v>
      </c>
      <c r="I357" s="1">
        <v>2.85</v>
      </c>
      <c r="J357" s="2">
        <v>45463</v>
      </c>
      <c r="K357" s="2">
        <v>45426</v>
      </c>
      <c r="L357" s="2">
        <v>45572</v>
      </c>
      <c r="M357" t="s">
        <v>1440</v>
      </c>
      <c r="N357">
        <v>48</v>
      </c>
      <c r="O357">
        <v>82</v>
      </c>
      <c r="P357" t="s">
        <v>26</v>
      </c>
      <c r="Q357" t="str">
        <f t="shared" si="23"/>
        <v>Last Order before Received</v>
      </c>
      <c r="R357" s="3">
        <f t="shared" si="21"/>
        <v>239.4</v>
      </c>
      <c r="S357">
        <f t="shared" si="20"/>
        <v>11</v>
      </c>
      <c r="T357" t="str">
        <f t="shared" si="22"/>
        <v>Reorder Required</v>
      </c>
    </row>
    <row r="358" spans="1:20" x14ac:dyDescent="0.3">
      <c r="A358" t="s">
        <v>1441</v>
      </c>
      <c r="B358" t="s">
        <v>354</v>
      </c>
      <c r="C358" t="s">
        <v>47</v>
      </c>
      <c r="D358" t="s">
        <v>1442</v>
      </c>
      <c r="E358" t="s">
        <v>1443</v>
      </c>
      <c r="F358">
        <v>17</v>
      </c>
      <c r="G358">
        <v>3</v>
      </c>
      <c r="H358">
        <v>33</v>
      </c>
      <c r="I358" s="1">
        <v>3</v>
      </c>
      <c r="J358" s="2">
        <v>45372</v>
      </c>
      <c r="K358" s="2">
        <v>45549</v>
      </c>
      <c r="L358" s="2">
        <v>45443</v>
      </c>
      <c r="M358" t="s">
        <v>1444</v>
      </c>
      <c r="N358">
        <v>49</v>
      </c>
      <c r="O358">
        <v>17</v>
      </c>
      <c r="P358" t="s">
        <v>38</v>
      </c>
      <c r="Q358" t="str">
        <f t="shared" si="23"/>
        <v>OK</v>
      </c>
      <c r="R358" s="3">
        <f t="shared" si="21"/>
        <v>51</v>
      </c>
      <c r="S358">
        <f t="shared" si="20"/>
        <v>0</v>
      </c>
      <c r="T358" t="str">
        <f t="shared" si="22"/>
        <v>Sufficient Stock</v>
      </c>
    </row>
    <row r="359" spans="1:20" x14ac:dyDescent="0.3">
      <c r="A359" t="s">
        <v>1445</v>
      </c>
      <c r="B359" t="s">
        <v>1192</v>
      </c>
      <c r="C359" t="s">
        <v>64</v>
      </c>
      <c r="D359" t="s">
        <v>1446</v>
      </c>
      <c r="E359" t="s">
        <v>1374</v>
      </c>
      <c r="F359">
        <v>64</v>
      </c>
      <c r="G359">
        <v>31</v>
      </c>
      <c r="H359">
        <v>91</v>
      </c>
      <c r="I359" s="1">
        <v>1.9</v>
      </c>
      <c r="J359" s="2">
        <v>45462</v>
      </c>
      <c r="K359" s="2">
        <v>45508</v>
      </c>
      <c r="L359" s="2">
        <v>45575</v>
      </c>
      <c r="M359" t="s">
        <v>1447</v>
      </c>
      <c r="N359">
        <v>85</v>
      </c>
      <c r="O359">
        <v>42</v>
      </c>
      <c r="P359" t="s">
        <v>26</v>
      </c>
      <c r="Q359" t="str">
        <f t="shared" si="23"/>
        <v>OK</v>
      </c>
      <c r="R359" s="3">
        <f t="shared" si="21"/>
        <v>121.6</v>
      </c>
      <c r="S359">
        <f t="shared" si="20"/>
        <v>0</v>
      </c>
      <c r="T359" t="str">
        <f t="shared" si="22"/>
        <v>Sufficient Stock</v>
      </c>
    </row>
    <row r="360" spans="1:20" x14ac:dyDescent="0.3">
      <c r="A360" t="s">
        <v>1448</v>
      </c>
      <c r="B360" t="s">
        <v>496</v>
      </c>
      <c r="C360" t="s">
        <v>64</v>
      </c>
      <c r="D360" t="s">
        <v>1449</v>
      </c>
      <c r="E360" t="s">
        <v>1450</v>
      </c>
      <c r="F360">
        <v>76</v>
      </c>
      <c r="G360">
        <v>81</v>
      </c>
      <c r="H360">
        <v>85</v>
      </c>
      <c r="I360" s="1">
        <v>4</v>
      </c>
      <c r="J360" s="2">
        <v>45355</v>
      </c>
      <c r="K360" s="2">
        <v>45636</v>
      </c>
      <c r="L360" s="2">
        <v>45543</v>
      </c>
      <c r="M360" t="s">
        <v>1451</v>
      </c>
      <c r="N360">
        <v>65</v>
      </c>
      <c r="O360">
        <v>68</v>
      </c>
      <c r="P360" t="s">
        <v>44</v>
      </c>
      <c r="Q360" t="str">
        <f t="shared" si="23"/>
        <v>OK</v>
      </c>
      <c r="R360" s="3">
        <f t="shared" si="21"/>
        <v>304</v>
      </c>
      <c r="S360">
        <f t="shared" si="20"/>
        <v>5</v>
      </c>
      <c r="T360" t="str">
        <f t="shared" si="22"/>
        <v>Reorder Required</v>
      </c>
    </row>
    <row r="361" spans="1:20" x14ac:dyDescent="0.3">
      <c r="A361" t="s">
        <v>1452</v>
      </c>
      <c r="B361" t="s">
        <v>737</v>
      </c>
      <c r="C361" t="s">
        <v>58</v>
      </c>
      <c r="D361" t="s">
        <v>1453</v>
      </c>
      <c r="E361" t="s">
        <v>1454</v>
      </c>
      <c r="F361">
        <v>77</v>
      </c>
      <c r="G361">
        <v>95</v>
      </c>
      <c r="H361">
        <v>82</v>
      </c>
      <c r="I361" s="1">
        <v>6.5</v>
      </c>
      <c r="J361" s="2">
        <v>45399</v>
      </c>
      <c r="K361" s="2">
        <v>45584</v>
      </c>
      <c r="L361" s="2">
        <v>45491</v>
      </c>
      <c r="M361" t="s">
        <v>1455</v>
      </c>
      <c r="N361">
        <v>29</v>
      </c>
      <c r="O361">
        <v>46</v>
      </c>
      <c r="P361" t="s">
        <v>38</v>
      </c>
      <c r="Q361" t="str">
        <f t="shared" si="23"/>
        <v>OK</v>
      </c>
      <c r="R361" s="3">
        <f t="shared" si="21"/>
        <v>500.5</v>
      </c>
      <c r="S361">
        <f t="shared" si="20"/>
        <v>18</v>
      </c>
      <c r="T361" t="str">
        <f t="shared" si="22"/>
        <v>Reorder Required</v>
      </c>
    </row>
    <row r="362" spans="1:20" x14ac:dyDescent="0.3">
      <c r="A362" t="s">
        <v>1456</v>
      </c>
      <c r="B362" t="s">
        <v>407</v>
      </c>
      <c r="C362" t="s">
        <v>64</v>
      </c>
      <c r="D362" t="s">
        <v>1457</v>
      </c>
      <c r="E362" t="s">
        <v>614</v>
      </c>
      <c r="F362">
        <v>18</v>
      </c>
      <c r="G362">
        <v>14</v>
      </c>
      <c r="H362">
        <v>77</v>
      </c>
      <c r="I362" s="1">
        <v>2.5</v>
      </c>
      <c r="J362" s="2">
        <v>45662</v>
      </c>
      <c r="K362" s="2">
        <v>45424</v>
      </c>
      <c r="L362" s="2">
        <v>45437</v>
      </c>
      <c r="M362" t="s">
        <v>1458</v>
      </c>
      <c r="N362">
        <v>78</v>
      </c>
      <c r="O362">
        <v>4</v>
      </c>
      <c r="P362" t="s">
        <v>38</v>
      </c>
      <c r="Q362" t="str">
        <f t="shared" si="23"/>
        <v>Expiry before Received</v>
      </c>
      <c r="R362" s="3">
        <f t="shared" si="21"/>
        <v>45</v>
      </c>
      <c r="S362">
        <f t="shared" si="20"/>
        <v>0</v>
      </c>
      <c r="T362" t="str">
        <f t="shared" si="22"/>
        <v>Sufficient Stock</v>
      </c>
    </row>
    <row r="363" spans="1:20" x14ac:dyDescent="0.3">
      <c r="A363" t="s">
        <v>1459</v>
      </c>
      <c r="B363" t="s">
        <v>1264</v>
      </c>
      <c r="C363" t="s">
        <v>22</v>
      </c>
      <c r="D363" t="s">
        <v>1460</v>
      </c>
      <c r="E363" t="s">
        <v>1461</v>
      </c>
      <c r="F363">
        <v>51</v>
      </c>
      <c r="G363">
        <v>55</v>
      </c>
      <c r="H363">
        <v>76</v>
      </c>
      <c r="I363" s="1">
        <v>5</v>
      </c>
      <c r="J363" s="2">
        <v>45707</v>
      </c>
      <c r="K363" s="2">
        <v>45561</v>
      </c>
      <c r="L363" s="2">
        <v>45681</v>
      </c>
      <c r="M363" t="s">
        <v>1462</v>
      </c>
      <c r="N363">
        <v>21</v>
      </c>
      <c r="O363">
        <v>13</v>
      </c>
      <c r="P363" t="s">
        <v>26</v>
      </c>
      <c r="Q363" t="str">
        <f t="shared" si="23"/>
        <v>Expiry before Received</v>
      </c>
      <c r="R363" s="3">
        <f t="shared" si="21"/>
        <v>255</v>
      </c>
      <c r="S363">
        <f t="shared" si="20"/>
        <v>4</v>
      </c>
      <c r="T363" t="str">
        <f t="shared" si="22"/>
        <v>Reorder Required</v>
      </c>
    </row>
    <row r="364" spans="1:20" x14ac:dyDescent="0.3">
      <c r="A364" t="s">
        <v>1463</v>
      </c>
      <c r="B364" t="s">
        <v>751</v>
      </c>
      <c r="C364" t="s">
        <v>47</v>
      </c>
      <c r="D364" t="s">
        <v>1464</v>
      </c>
      <c r="E364" t="s">
        <v>1465</v>
      </c>
      <c r="F364">
        <v>68</v>
      </c>
      <c r="G364">
        <v>12</v>
      </c>
      <c r="H364">
        <v>73</v>
      </c>
      <c r="I364" s="1">
        <v>5</v>
      </c>
      <c r="J364" s="2">
        <v>45509</v>
      </c>
      <c r="K364" s="2">
        <v>45668</v>
      </c>
      <c r="L364" s="2">
        <v>45477</v>
      </c>
      <c r="M364" t="s">
        <v>1466</v>
      </c>
      <c r="N364">
        <v>84</v>
      </c>
      <c r="O364">
        <v>95</v>
      </c>
      <c r="P364" t="s">
        <v>38</v>
      </c>
      <c r="Q364" t="str">
        <f t="shared" si="23"/>
        <v>Expiry before Received</v>
      </c>
      <c r="R364" s="3">
        <f t="shared" si="21"/>
        <v>340</v>
      </c>
      <c r="S364">
        <f t="shared" si="20"/>
        <v>0</v>
      </c>
      <c r="T364" t="str">
        <f t="shared" si="22"/>
        <v>Sufficient Stock</v>
      </c>
    </row>
    <row r="365" spans="1:20" x14ac:dyDescent="0.3">
      <c r="A365" t="s">
        <v>1467</v>
      </c>
      <c r="B365" t="s">
        <v>1468</v>
      </c>
      <c r="C365" t="s">
        <v>22</v>
      </c>
      <c r="D365" t="s">
        <v>1469</v>
      </c>
      <c r="E365" t="s">
        <v>534</v>
      </c>
      <c r="F365">
        <v>46</v>
      </c>
      <c r="G365">
        <v>6</v>
      </c>
      <c r="H365">
        <v>64</v>
      </c>
      <c r="I365" s="1">
        <v>10</v>
      </c>
      <c r="J365" s="2">
        <v>45496</v>
      </c>
      <c r="K365" s="2">
        <v>45466</v>
      </c>
      <c r="L365" s="2">
        <v>45648</v>
      </c>
      <c r="M365" t="s">
        <v>1470</v>
      </c>
      <c r="N365">
        <v>63</v>
      </c>
      <c r="O365">
        <v>29</v>
      </c>
      <c r="P365" t="s">
        <v>26</v>
      </c>
      <c r="Q365" t="str">
        <f t="shared" si="23"/>
        <v>Last Order before Received</v>
      </c>
      <c r="R365" s="3">
        <f t="shared" si="21"/>
        <v>460</v>
      </c>
      <c r="S365">
        <f t="shared" si="20"/>
        <v>0</v>
      </c>
      <c r="T365" t="str">
        <f t="shared" si="22"/>
        <v>Sufficient Stock</v>
      </c>
    </row>
    <row r="366" spans="1:20" x14ac:dyDescent="0.3">
      <c r="A366" t="s">
        <v>1471</v>
      </c>
      <c r="B366" t="s">
        <v>40</v>
      </c>
      <c r="C366" t="s">
        <v>22</v>
      </c>
      <c r="D366" t="s">
        <v>1472</v>
      </c>
      <c r="E366" t="s">
        <v>765</v>
      </c>
      <c r="F366">
        <v>98</v>
      </c>
      <c r="G366">
        <v>40</v>
      </c>
      <c r="H366">
        <v>93</v>
      </c>
      <c r="I366" s="1">
        <v>1.5</v>
      </c>
      <c r="J366" s="2">
        <v>45707</v>
      </c>
      <c r="K366" s="2">
        <v>45699</v>
      </c>
      <c r="L366" s="2">
        <v>45585</v>
      </c>
      <c r="M366" t="s">
        <v>1473</v>
      </c>
      <c r="N366">
        <v>30</v>
      </c>
      <c r="O366">
        <v>53</v>
      </c>
      <c r="P366" t="s">
        <v>44</v>
      </c>
      <c r="Q366" t="str">
        <f t="shared" si="23"/>
        <v>Expiry before Received</v>
      </c>
      <c r="R366" s="3">
        <f t="shared" si="21"/>
        <v>147</v>
      </c>
      <c r="S366">
        <f t="shared" si="20"/>
        <v>0</v>
      </c>
      <c r="T366" t="str">
        <f t="shared" si="22"/>
        <v>Sufficient Stock</v>
      </c>
    </row>
    <row r="367" spans="1:20" x14ac:dyDescent="0.3">
      <c r="A367" t="s">
        <v>1474</v>
      </c>
      <c r="B367" t="s">
        <v>201</v>
      </c>
      <c r="C367" t="s">
        <v>47</v>
      </c>
      <c r="D367" t="s">
        <v>1475</v>
      </c>
      <c r="E367" t="s">
        <v>1476</v>
      </c>
      <c r="F367">
        <v>50</v>
      </c>
      <c r="G367">
        <v>20</v>
      </c>
      <c r="H367">
        <v>74</v>
      </c>
      <c r="I367" s="1">
        <v>2</v>
      </c>
      <c r="J367" s="2">
        <v>45701</v>
      </c>
      <c r="K367" s="2">
        <v>45507</v>
      </c>
      <c r="L367" s="2">
        <v>45570</v>
      </c>
      <c r="M367" t="s">
        <v>1477</v>
      </c>
      <c r="N367">
        <v>30</v>
      </c>
      <c r="O367">
        <v>57</v>
      </c>
      <c r="P367" t="s">
        <v>38</v>
      </c>
      <c r="Q367" t="str">
        <f t="shared" si="23"/>
        <v>Expiry before Received</v>
      </c>
      <c r="R367" s="3">
        <f t="shared" si="21"/>
        <v>100</v>
      </c>
      <c r="S367">
        <f t="shared" si="20"/>
        <v>0</v>
      </c>
      <c r="T367" t="str">
        <f t="shared" si="22"/>
        <v>Sufficient Stock</v>
      </c>
    </row>
    <row r="368" spans="1:20" x14ac:dyDescent="0.3">
      <c r="A368" t="s">
        <v>1478</v>
      </c>
      <c r="B368" t="s">
        <v>1479</v>
      </c>
      <c r="C368" t="s">
        <v>132</v>
      </c>
      <c r="D368" t="s">
        <v>1480</v>
      </c>
      <c r="E368" t="s">
        <v>1250</v>
      </c>
      <c r="F368">
        <v>88</v>
      </c>
      <c r="G368">
        <v>83</v>
      </c>
      <c r="H368">
        <v>42</v>
      </c>
      <c r="I368" s="1">
        <v>15</v>
      </c>
      <c r="J368" s="2">
        <v>45441</v>
      </c>
      <c r="K368" s="2">
        <v>45544</v>
      </c>
      <c r="L368" s="2">
        <v>45590</v>
      </c>
      <c r="M368" t="s">
        <v>1481</v>
      </c>
      <c r="N368">
        <v>61</v>
      </c>
      <c r="O368">
        <v>59</v>
      </c>
      <c r="P368" t="s">
        <v>26</v>
      </c>
      <c r="Q368" t="str">
        <f t="shared" si="23"/>
        <v>OK</v>
      </c>
      <c r="R368" s="3">
        <f t="shared" si="21"/>
        <v>1320</v>
      </c>
      <c r="S368">
        <f t="shared" si="20"/>
        <v>0</v>
      </c>
      <c r="T368" t="str">
        <f t="shared" si="22"/>
        <v>Sufficient Stock</v>
      </c>
    </row>
    <row r="369" spans="1:20" x14ac:dyDescent="0.3">
      <c r="A369" t="s">
        <v>1482</v>
      </c>
      <c r="B369" t="s">
        <v>389</v>
      </c>
      <c r="C369" t="s">
        <v>47</v>
      </c>
      <c r="D369" t="s">
        <v>1483</v>
      </c>
      <c r="E369" t="s">
        <v>1476</v>
      </c>
      <c r="F369">
        <v>26</v>
      </c>
      <c r="G369">
        <v>16</v>
      </c>
      <c r="H369">
        <v>69</v>
      </c>
      <c r="I369" s="1">
        <v>1.2</v>
      </c>
      <c r="J369" s="2">
        <v>45473</v>
      </c>
      <c r="K369" s="2">
        <v>45377</v>
      </c>
      <c r="L369" s="2">
        <v>45523</v>
      </c>
      <c r="M369" t="s">
        <v>1484</v>
      </c>
      <c r="N369">
        <v>64</v>
      </c>
      <c r="O369">
        <v>79</v>
      </c>
      <c r="P369" t="s">
        <v>26</v>
      </c>
      <c r="Q369" t="str">
        <f t="shared" si="23"/>
        <v>Last Order before Received</v>
      </c>
      <c r="R369" s="3">
        <f t="shared" si="21"/>
        <v>31.2</v>
      </c>
      <c r="S369">
        <f t="shared" si="20"/>
        <v>0</v>
      </c>
      <c r="T369" t="str">
        <f t="shared" si="22"/>
        <v>Sufficient Stock</v>
      </c>
    </row>
    <row r="370" spans="1:20" x14ac:dyDescent="0.3">
      <c r="A370" t="s">
        <v>1485</v>
      </c>
      <c r="B370" t="s">
        <v>286</v>
      </c>
      <c r="C370" t="s">
        <v>29</v>
      </c>
      <c r="D370" t="s">
        <v>1486</v>
      </c>
      <c r="E370" t="s">
        <v>1319</v>
      </c>
      <c r="F370">
        <v>43</v>
      </c>
      <c r="G370">
        <v>38</v>
      </c>
      <c r="H370">
        <v>63</v>
      </c>
      <c r="I370" s="1">
        <v>12</v>
      </c>
      <c r="J370" s="2">
        <v>45382</v>
      </c>
      <c r="K370" s="2">
        <v>45690</v>
      </c>
      <c r="L370" s="2">
        <v>45391</v>
      </c>
      <c r="M370" t="s">
        <v>1487</v>
      </c>
      <c r="N370">
        <v>88</v>
      </c>
      <c r="O370">
        <v>65</v>
      </c>
      <c r="P370" t="s">
        <v>38</v>
      </c>
      <c r="Q370" t="str">
        <f t="shared" si="23"/>
        <v>OK</v>
      </c>
      <c r="R370" s="3">
        <f t="shared" si="21"/>
        <v>516</v>
      </c>
      <c r="S370">
        <f t="shared" si="20"/>
        <v>0</v>
      </c>
      <c r="T370" t="str">
        <f t="shared" si="22"/>
        <v>Sufficient Stock</v>
      </c>
    </row>
    <row r="371" spans="1:20" x14ac:dyDescent="0.3">
      <c r="A371" t="s">
        <v>1488</v>
      </c>
      <c r="B371" t="s">
        <v>687</v>
      </c>
      <c r="C371" t="s">
        <v>22</v>
      </c>
      <c r="D371" t="s">
        <v>1489</v>
      </c>
      <c r="E371" t="s">
        <v>534</v>
      </c>
      <c r="F371">
        <v>46</v>
      </c>
      <c r="G371">
        <v>20</v>
      </c>
      <c r="H371">
        <v>30</v>
      </c>
      <c r="I371" s="1">
        <v>2.5</v>
      </c>
      <c r="J371" s="2">
        <v>45357</v>
      </c>
      <c r="K371" s="2">
        <v>45351</v>
      </c>
      <c r="L371" s="2">
        <v>45548</v>
      </c>
      <c r="M371" t="s">
        <v>1490</v>
      </c>
      <c r="N371">
        <v>54</v>
      </c>
      <c r="O371">
        <v>24</v>
      </c>
      <c r="P371" t="s">
        <v>38</v>
      </c>
      <c r="Q371" t="str">
        <f t="shared" si="23"/>
        <v>Last Order before Received</v>
      </c>
      <c r="R371" s="3">
        <f t="shared" si="21"/>
        <v>115</v>
      </c>
      <c r="S371">
        <f t="shared" si="20"/>
        <v>0</v>
      </c>
      <c r="T371" t="str">
        <f t="shared" si="22"/>
        <v>Sufficient Stock</v>
      </c>
    </row>
    <row r="372" spans="1:20" x14ac:dyDescent="0.3">
      <c r="A372" t="s">
        <v>1491</v>
      </c>
      <c r="B372" t="s">
        <v>594</v>
      </c>
      <c r="C372" t="s">
        <v>47</v>
      </c>
      <c r="D372" t="s">
        <v>1492</v>
      </c>
      <c r="E372" t="s">
        <v>765</v>
      </c>
      <c r="F372">
        <v>19</v>
      </c>
      <c r="G372">
        <v>73</v>
      </c>
      <c r="H372">
        <v>60</v>
      </c>
      <c r="I372" s="1">
        <v>2.4500000000000002</v>
      </c>
      <c r="J372" s="2">
        <v>45363</v>
      </c>
      <c r="K372" s="2">
        <v>45515</v>
      </c>
      <c r="L372" s="2">
        <v>45455</v>
      </c>
      <c r="M372" t="s">
        <v>1493</v>
      </c>
      <c r="N372">
        <v>70</v>
      </c>
      <c r="O372">
        <v>48</v>
      </c>
      <c r="P372" t="s">
        <v>38</v>
      </c>
      <c r="Q372" t="str">
        <f t="shared" si="23"/>
        <v>OK</v>
      </c>
      <c r="R372" s="3">
        <f t="shared" si="21"/>
        <v>46.550000000000004</v>
      </c>
      <c r="S372">
        <f t="shared" si="20"/>
        <v>54</v>
      </c>
      <c r="T372" t="str">
        <f t="shared" si="22"/>
        <v>Reorder Required</v>
      </c>
    </row>
    <row r="373" spans="1:20" x14ac:dyDescent="0.3">
      <c r="A373" t="s">
        <v>1494</v>
      </c>
      <c r="B373" t="s">
        <v>1002</v>
      </c>
      <c r="C373" t="s">
        <v>47</v>
      </c>
      <c r="D373" t="s">
        <v>1495</v>
      </c>
      <c r="E373" t="s">
        <v>42</v>
      </c>
      <c r="F373">
        <v>61</v>
      </c>
      <c r="G373">
        <v>100</v>
      </c>
      <c r="H373">
        <v>94</v>
      </c>
      <c r="I373" s="1">
        <v>4</v>
      </c>
      <c r="J373" s="2">
        <v>45493</v>
      </c>
      <c r="K373" s="2">
        <v>45671</v>
      </c>
      <c r="L373" s="2">
        <v>45569</v>
      </c>
      <c r="M373" t="s">
        <v>1496</v>
      </c>
      <c r="N373">
        <v>76</v>
      </c>
      <c r="O373">
        <v>2</v>
      </c>
      <c r="P373" t="s">
        <v>38</v>
      </c>
      <c r="Q373" t="str">
        <f t="shared" si="23"/>
        <v>OK</v>
      </c>
      <c r="R373" s="3">
        <f t="shared" si="21"/>
        <v>244</v>
      </c>
      <c r="S373">
        <f t="shared" si="20"/>
        <v>39</v>
      </c>
      <c r="T373" t="str">
        <f t="shared" si="22"/>
        <v>Reorder Required</v>
      </c>
    </row>
    <row r="374" spans="1:20" x14ac:dyDescent="0.3">
      <c r="A374" t="s">
        <v>1497</v>
      </c>
      <c r="B374" t="s">
        <v>463</v>
      </c>
      <c r="C374" t="s">
        <v>47</v>
      </c>
      <c r="D374" t="s">
        <v>1498</v>
      </c>
      <c r="E374" t="s">
        <v>1499</v>
      </c>
      <c r="F374">
        <v>43</v>
      </c>
      <c r="G374">
        <v>40</v>
      </c>
      <c r="H374">
        <v>30</v>
      </c>
      <c r="I374" s="1">
        <v>7</v>
      </c>
      <c r="J374" s="2">
        <v>45486</v>
      </c>
      <c r="K374" s="2">
        <v>45567</v>
      </c>
      <c r="L374" s="2">
        <v>45645</v>
      </c>
      <c r="M374" t="s">
        <v>1500</v>
      </c>
      <c r="N374">
        <v>95</v>
      </c>
      <c r="O374">
        <v>26</v>
      </c>
      <c r="P374" t="s">
        <v>44</v>
      </c>
      <c r="Q374" t="str">
        <f t="shared" si="23"/>
        <v>OK</v>
      </c>
      <c r="R374" s="3">
        <f t="shared" si="21"/>
        <v>301</v>
      </c>
      <c r="S374">
        <f t="shared" si="20"/>
        <v>0</v>
      </c>
      <c r="T374" t="str">
        <f t="shared" si="22"/>
        <v>Sufficient Stock</v>
      </c>
    </row>
    <row r="375" spans="1:20" x14ac:dyDescent="0.3">
      <c r="A375" t="s">
        <v>1501</v>
      </c>
      <c r="B375" t="s">
        <v>672</v>
      </c>
      <c r="C375" t="s">
        <v>29</v>
      </c>
      <c r="D375" t="s">
        <v>1502</v>
      </c>
      <c r="E375" t="s">
        <v>258</v>
      </c>
      <c r="F375">
        <v>80</v>
      </c>
      <c r="G375">
        <v>54</v>
      </c>
      <c r="H375">
        <v>21</v>
      </c>
      <c r="I375" s="1">
        <v>8.5</v>
      </c>
      <c r="J375" s="2">
        <v>45528</v>
      </c>
      <c r="K375" s="2">
        <v>45565</v>
      </c>
      <c r="L375" s="2">
        <v>45398</v>
      </c>
      <c r="M375" t="s">
        <v>1503</v>
      </c>
      <c r="N375">
        <v>81</v>
      </c>
      <c r="O375">
        <v>37</v>
      </c>
      <c r="P375" t="s">
        <v>44</v>
      </c>
      <c r="Q375" t="str">
        <f t="shared" si="23"/>
        <v>Expiry before Received</v>
      </c>
      <c r="R375" s="3">
        <f t="shared" si="21"/>
        <v>680</v>
      </c>
      <c r="S375">
        <f t="shared" si="20"/>
        <v>0</v>
      </c>
      <c r="T375" t="str">
        <f t="shared" si="22"/>
        <v>Sufficient Stock</v>
      </c>
    </row>
    <row r="376" spans="1:20" x14ac:dyDescent="0.3">
      <c r="A376" t="s">
        <v>1504</v>
      </c>
      <c r="B376" t="s">
        <v>672</v>
      </c>
      <c r="C376" t="s">
        <v>29</v>
      </c>
      <c r="D376" t="s">
        <v>1505</v>
      </c>
      <c r="E376" t="s">
        <v>924</v>
      </c>
      <c r="F376">
        <v>34</v>
      </c>
      <c r="G376">
        <v>47</v>
      </c>
      <c r="H376">
        <v>99</v>
      </c>
      <c r="I376" s="1">
        <v>8</v>
      </c>
      <c r="J376" s="2">
        <v>45680</v>
      </c>
      <c r="K376" s="2">
        <v>45476</v>
      </c>
      <c r="L376" s="2">
        <v>45619</v>
      </c>
      <c r="M376" t="s">
        <v>1506</v>
      </c>
      <c r="N376">
        <v>97</v>
      </c>
      <c r="O376">
        <v>47</v>
      </c>
      <c r="P376" t="s">
        <v>38</v>
      </c>
      <c r="Q376" t="str">
        <f t="shared" si="23"/>
        <v>Expiry before Received</v>
      </c>
      <c r="R376" s="3">
        <f t="shared" si="21"/>
        <v>272</v>
      </c>
      <c r="S376">
        <f t="shared" si="20"/>
        <v>13</v>
      </c>
      <c r="T376" t="str">
        <f t="shared" si="22"/>
        <v>Reorder Required</v>
      </c>
    </row>
    <row r="377" spans="1:20" x14ac:dyDescent="0.3">
      <c r="A377" t="s">
        <v>1507</v>
      </c>
      <c r="B377" t="s">
        <v>672</v>
      </c>
      <c r="C377" t="s">
        <v>29</v>
      </c>
      <c r="D377" t="s">
        <v>1508</v>
      </c>
      <c r="E377" t="s">
        <v>1101</v>
      </c>
      <c r="F377">
        <v>88</v>
      </c>
      <c r="G377">
        <v>50</v>
      </c>
      <c r="H377">
        <v>88</v>
      </c>
      <c r="I377" s="1">
        <v>8</v>
      </c>
      <c r="J377" s="2">
        <v>45527</v>
      </c>
      <c r="K377" s="2">
        <v>45609</v>
      </c>
      <c r="L377" s="2">
        <v>45599</v>
      </c>
      <c r="M377" t="s">
        <v>1509</v>
      </c>
      <c r="N377">
        <v>78</v>
      </c>
      <c r="O377">
        <v>28</v>
      </c>
      <c r="P377" t="s">
        <v>26</v>
      </c>
      <c r="Q377" t="str">
        <f t="shared" si="23"/>
        <v>OK</v>
      </c>
      <c r="R377" s="3">
        <f t="shared" si="21"/>
        <v>704</v>
      </c>
      <c r="S377">
        <f t="shared" si="20"/>
        <v>0</v>
      </c>
      <c r="T377" t="str">
        <f t="shared" si="22"/>
        <v>Sufficient Stock</v>
      </c>
    </row>
    <row r="378" spans="1:20" x14ac:dyDescent="0.3">
      <c r="A378" t="s">
        <v>1510</v>
      </c>
      <c r="B378" t="s">
        <v>492</v>
      </c>
      <c r="C378" t="s">
        <v>64</v>
      </c>
      <c r="D378" t="s">
        <v>1511</v>
      </c>
      <c r="E378" t="s">
        <v>1512</v>
      </c>
      <c r="F378">
        <v>89</v>
      </c>
      <c r="G378">
        <v>42</v>
      </c>
      <c r="H378">
        <v>76</v>
      </c>
      <c r="I378" s="1">
        <v>5</v>
      </c>
      <c r="J378" s="2">
        <v>45641</v>
      </c>
      <c r="K378" s="2">
        <v>45626</v>
      </c>
      <c r="L378" s="2">
        <v>45636</v>
      </c>
      <c r="M378" t="s">
        <v>1513</v>
      </c>
      <c r="N378">
        <v>94</v>
      </c>
      <c r="O378">
        <v>81</v>
      </c>
      <c r="P378" t="s">
        <v>38</v>
      </c>
      <c r="Q378" t="str">
        <f t="shared" si="23"/>
        <v>Expiry before Received</v>
      </c>
      <c r="R378" s="3">
        <f t="shared" si="21"/>
        <v>445</v>
      </c>
      <c r="S378">
        <f t="shared" si="20"/>
        <v>0</v>
      </c>
      <c r="T378" t="str">
        <f t="shared" si="22"/>
        <v>Sufficient Stock</v>
      </c>
    </row>
    <row r="379" spans="1:20" x14ac:dyDescent="0.3">
      <c r="A379" t="s">
        <v>1514</v>
      </c>
      <c r="B379" t="s">
        <v>1468</v>
      </c>
      <c r="C379" t="s">
        <v>22</v>
      </c>
      <c r="D379" t="s">
        <v>1515</v>
      </c>
      <c r="E379" t="s">
        <v>1516</v>
      </c>
      <c r="F379">
        <v>26</v>
      </c>
      <c r="G379">
        <v>21</v>
      </c>
      <c r="H379">
        <v>47</v>
      </c>
      <c r="I379" s="1">
        <v>10</v>
      </c>
      <c r="J379" s="2">
        <v>45507</v>
      </c>
      <c r="K379" s="2">
        <v>45520</v>
      </c>
      <c r="L379" s="2">
        <v>45414</v>
      </c>
      <c r="M379" t="s">
        <v>1517</v>
      </c>
      <c r="N379">
        <v>40</v>
      </c>
      <c r="O379">
        <v>59</v>
      </c>
      <c r="P379" t="s">
        <v>26</v>
      </c>
      <c r="Q379" t="str">
        <f t="shared" si="23"/>
        <v>Expiry before Received</v>
      </c>
      <c r="R379" s="3">
        <f t="shared" si="21"/>
        <v>260</v>
      </c>
      <c r="S379">
        <f t="shared" si="20"/>
        <v>0</v>
      </c>
      <c r="T379" t="str">
        <f t="shared" si="22"/>
        <v>Sufficient Stock</v>
      </c>
    </row>
    <row r="380" spans="1:20" x14ac:dyDescent="0.3">
      <c r="A380" t="s">
        <v>1518</v>
      </c>
      <c r="B380" t="s">
        <v>171</v>
      </c>
      <c r="C380" t="s">
        <v>47</v>
      </c>
      <c r="D380" t="s">
        <v>1519</v>
      </c>
      <c r="E380" t="s">
        <v>1257</v>
      </c>
      <c r="F380">
        <v>26</v>
      </c>
      <c r="G380">
        <v>95</v>
      </c>
      <c r="H380">
        <v>36</v>
      </c>
      <c r="I380" s="1">
        <v>4.5</v>
      </c>
      <c r="J380" s="2">
        <v>45502</v>
      </c>
      <c r="K380" s="2">
        <v>45663</v>
      </c>
      <c r="L380" s="2">
        <v>45698</v>
      </c>
      <c r="M380" t="s">
        <v>1520</v>
      </c>
      <c r="N380">
        <v>92</v>
      </c>
      <c r="O380">
        <v>14</v>
      </c>
      <c r="P380" t="s">
        <v>44</v>
      </c>
      <c r="Q380" t="str">
        <f t="shared" si="23"/>
        <v>OK</v>
      </c>
      <c r="R380" s="3">
        <f t="shared" si="21"/>
        <v>117</v>
      </c>
      <c r="S380">
        <f t="shared" si="20"/>
        <v>69</v>
      </c>
      <c r="T380" t="str">
        <f t="shared" si="22"/>
        <v>Reorder Required</v>
      </c>
    </row>
    <row r="381" spans="1:20" x14ac:dyDescent="0.3">
      <c r="A381" t="s">
        <v>1521</v>
      </c>
      <c r="B381" t="s">
        <v>554</v>
      </c>
      <c r="C381" t="s">
        <v>47</v>
      </c>
      <c r="D381" t="s">
        <v>1522</v>
      </c>
      <c r="E381" t="s">
        <v>1294</v>
      </c>
      <c r="F381">
        <v>37</v>
      </c>
      <c r="G381">
        <v>38</v>
      </c>
      <c r="H381">
        <v>24</v>
      </c>
      <c r="I381" s="1">
        <v>4</v>
      </c>
      <c r="J381" s="2">
        <v>45458</v>
      </c>
      <c r="K381" s="2">
        <v>45537</v>
      </c>
      <c r="L381" s="2">
        <v>45524</v>
      </c>
      <c r="M381" t="s">
        <v>1523</v>
      </c>
      <c r="N381">
        <v>93</v>
      </c>
      <c r="O381">
        <v>32</v>
      </c>
      <c r="P381" t="s">
        <v>44</v>
      </c>
      <c r="Q381" t="str">
        <f t="shared" si="23"/>
        <v>OK</v>
      </c>
      <c r="R381" s="3">
        <f t="shared" si="21"/>
        <v>148</v>
      </c>
      <c r="S381">
        <f t="shared" si="20"/>
        <v>1</v>
      </c>
      <c r="T381" t="str">
        <f t="shared" si="22"/>
        <v>Reorder Required</v>
      </c>
    </row>
    <row r="382" spans="1:20" x14ac:dyDescent="0.3">
      <c r="A382" t="s">
        <v>1524</v>
      </c>
      <c r="B382" t="s">
        <v>1218</v>
      </c>
      <c r="C382" t="s">
        <v>64</v>
      </c>
      <c r="D382" t="s">
        <v>1525</v>
      </c>
      <c r="E382" t="s">
        <v>734</v>
      </c>
      <c r="F382">
        <v>76</v>
      </c>
      <c r="G382">
        <v>98</v>
      </c>
      <c r="H382">
        <v>41</v>
      </c>
      <c r="I382" s="1">
        <v>1.75</v>
      </c>
      <c r="J382" s="2">
        <v>45610</v>
      </c>
      <c r="K382" s="2">
        <v>45435</v>
      </c>
      <c r="L382" s="2">
        <v>45579</v>
      </c>
      <c r="M382" t="s">
        <v>1526</v>
      </c>
      <c r="N382">
        <v>62</v>
      </c>
      <c r="O382">
        <v>48</v>
      </c>
      <c r="P382" t="s">
        <v>38</v>
      </c>
      <c r="Q382" t="str">
        <f t="shared" si="23"/>
        <v>Expiry before Received</v>
      </c>
      <c r="R382" s="3">
        <f t="shared" si="21"/>
        <v>133</v>
      </c>
      <c r="S382">
        <f t="shared" si="20"/>
        <v>22</v>
      </c>
      <c r="T382" t="str">
        <f t="shared" si="22"/>
        <v>Reorder Required</v>
      </c>
    </row>
    <row r="383" spans="1:20" x14ac:dyDescent="0.3">
      <c r="A383" t="s">
        <v>1527</v>
      </c>
      <c r="B383" t="s">
        <v>103</v>
      </c>
      <c r="C383" t="s">
        <v>64</v>
      </c>
      <c r="D383" t="s">
        <v>1528</v>
      </c>
      <c r="E383" t="s">
        <v>1139</v>
      </c>
      <c r="F383">
        <v>80</v>
      </c>
      <c r="G383">
        <v>43</v>
      </c>
      <c r="H383">
        <v>80</v>
      </c>
      <c r="I383" s="1">
        <v>7</v>
      </c>
      <c r="J383" s="2">
        <v>45469</v>
      </c>
      <c r="K383" s="2">
        <v>45540</v>
      </c>
      <c r="L383" s="2">
        <v>45394</v>
      </c>
      <c r="M383" t="s">
        <v>1529</v>
      </c>
      <c r="N383">
        <v>64</v>
      </c>
      <c r="O383">
        <v>53</v>
      </c>
      <c r="P383" t="s">
        <v>44</v>
      </c>
      <c r="Q383" t="str">
        <f t="shared" si="23"/>
        <v>Expiry before Received</v>
      </c>
      <c r="R383" s="3">
        <f t="shared" si="21"/>
        <v>560</v>
      </c>
      <c r="S383">
        <f t="shared" si="20"/>
        <v>0</v>
      </c>
      <c r="T383" t="str">
        <f t="shared" si="22"/>
        <v>Sufficient Stock</v>
      </c>
    </row>
    <row r="384" spans="1:20" x14ac:dyDescent="0.3">
      <c r="A384" t="s">
        <v>1530</v>
      </c>
      <c r="B384" t="s">
        <v>1531</v>
      </c>
      <c r="C384" t="s">
        <v>47</v>
      </c>
      <c r="D384" t="s">
        <v>1532</v>
      </c>
      <c r="E384" t="s">
        <v>164</v>
      </c>
      <c r="F384">
        <v>100</v>
      </c>
      <c r="G384">
        <v>3</v>
      </c>
      <c r="H384">
        <v>32</v>
      </c>
      <c r="I384" s="1">
        <v>2</v>
      </c>
      <c r="J384" s="2">
        <v>45523</v>
      </c>
      <c r="K384" s="2">
        <v>45566</v>
      </c>
      <c r="L384" s="2">
        <v>45698</v>
      </c>
      <c r="M384" t="s">
        <v>1533</v>
      </c>
      <c r="N384">
        <v>98</v>
      </c>
      <c r="O384">
        <v>91</v>
      </c>
      <c r="P384" t="s">
        <v>38</v>
      </c>
      <c r="Q384" t="str">
        <f t="shared" si="23"/>
        <v>OK</v>
      </c>
      <c r="R384" s="3">
        <f t="shared" si="21"/>
        <v>200</v>
      </c>
      <c r="S384">
        <f t="shared" si="20"/>
        <v>0</v>
      </c>
      <c r="T384" t="str">
        <f t="shared" si="22"/>
        <v>Sufficient Stock</v>
      </c>
    </row>
    <row r="385" spans="1:20" x14ac:dyDescent="0.3">
      <c r="A385" t="s">
        <v>1534</v>
      </c>
      <c r="B385" t="s">
        <v>238</v>
      </c>
      <c r="C385" t="s">
        <v>64</v>
      </c>
      <c r="D385" t="s">
        <v>1535</v>
      </c>
      <c r="E385" t="s">
        <v>1086</v>
      </c>
      <c r="F385">
        <v>21</v>
      </c>
      <c r="G385">
        <v>87</v>
      </c>
      <c r="H385">
        <v>67</v>
      </c>
      <c r="I385" s="1">
        <v>3.1</v>
      </c>
      <c r="J385" s="2">
        <v>45660</v>
      </c>
      <c r="K385" s="2">
        <v>45680</v>
      </c>
      <c r="L385" s="2">
        <v>45382</v>
      </c>
      <c r="M385" t="s">
        <v>1536</v>
      </c>
      <c r="N385">
        <v>64</v>
      </c>
      <c r="O385">
        <v>69</v>
      </c>
      <c r="P385" t="s">
        <v>26</v>
      </c>
      <c r="Q385" t="str">
        <f t="shared" si="23"/>
        <v>Expiry before Received</v>
      </c>
      <c r="R385" s="3">
        <f t="shared" si="21"/>
        <v>65.100000000000009</v>
      </c>
      <c r="S385">
        <f t="shared" si="20"/>
        <v>66</v>
      </c>
      <c r="T385" t="str">
        <f t="shared" si="22"/>
        <v>Reorder Required</v>
      </c>
    </row>
    <row r="386" spans="1:20" x14ac:dyDescent="0.3">
      <c r="A386" t="s">
        <v>1537</v>
      </c>
      <c r="B386" t="s">
        <v>1538</v>
      </c>
      <c r="C386" t="s">
        <v>58</v>
      </c>
      <c r="D386" t="s">
        <v>1539</v>
      </c>
      <c r="E386" t="s">
        <v>761</v>
      </c>
      <c r="F386">
        <v>33</v>
      </c>
      <c r="G386">
        <v>78</v>
      </c>
      <c r="H386">
        <v>79</v>
      </c>
      <c r="I386" s="1">
        <v>5</v>
      </c>
      <c r="J386" s="2">
        <v>45601</v>
      </c>
      <c r="K386" s="2">
        <v>45484</v>
      </c>
      <c r="L386" s="2">
        <v>45403</v>
      </c>
      <c r="M386" t="s">
        <v>1540</v>
      </c>
      <c r="N386">
        <v>60</v>
      </c>
      <c r="O386">
        <v>25</v>
      </c>
      <c r="P386" t="s">
        <v>26</v>
      </c>
      <c r="Q386" t="str">
        <f t="shared" si="23"/>
        <v>Expiry before Received</v>
      </c>
      <c r="R386" s="3">
        <f t="shared" si="21"/>
        <v>165</v>
      </c>
      <c r="S386">
        <f t="shared" ref="S386:S449" si="24">MAX(0,G386-F386)</f>
        <v>45</v>
      </c>
      <c r="T386" t="str">
        <f t="shared" si="22"/>
        <v>Reorder Required</v>
      </c>
    </row>
    <row r="387" spans="1:20" x14ac:dyDescent="0.3">
      <c r="A387" t="s">
        <v>1541</v>
      </c>
      <c r="B387" t="s">
        <v>1234</v>
      </c>
      <c r="C387" t="s">
        <v>47</v>
      </c>
      <c r="D387" t="s">
        <v>1542</v>
      </c>
      <c r="E387" t="s">
        <v>1122</v>
      </c>
      <c r="F387">
        <v>43</v>
      </c>
      <c r="G387">
        <v>63</v>
      </c>
      <c r="H387">
        <v>99</v>
      </c>
      <c r="I387" s="1">
        <v>3.5</v>
      </c>
      <c r="J387" s="2">
        <v>45604</v>
      </c>
      <c r="K387" s="2">
        <v>45639</v>
      </c>
      <c r="L387" s="2">
        <v>45669</v>
      </c>
      <c r="M387" t="s">
        <v>1543</v>
      </c>
      <c r="N387">
        <v>39</v>
      </c>
      <c r="O387">
        <v>77</v>
      </c>
      <c r="P387" t="s">
        <v>26</v>
      </c>
      <c r="Q387" t="str">
        <f t="shared" si="23"/>
        <v>OK</v>
      </c>
      <c r="R387" s="3">
        <f t="shared" ref="R387:R450" si="25">F387*I387</f>
        <v>150.5</v>
      </c>
      <c r="S387">
        <f t="shared" si="24"/>
        <v>20</v>
      </c>
      <c r="T387" t="str">
        <f t="shared" ref="T387:T450" si="26">IF(F387&lt;G387,"Reorder Required","Sufficient Stock")</f>
        <v>Reorder Required</v>
      </c>
    </row>
    <row r="388" spans="1:20" x14ac:dyDescent="0.3">
      <c r="A388" t="s">
        <v>1544</v>
      </c>
      <c r="B388" t="s">
        <v>162</v>
      </c>
      <c r="C388" t="s">
        <v>47</v>
      </c>
      <c r="D388" t="s">
        <v>1545</v>
      </c>
      <c r="E388" t="s">
        <v>821</v>
      </c>
      <c r="F388">
        <v>34</v>
      </c>
      <c r="G388">
        <v>1</v>
      </c>
      <c r="H388">
        <v>79</v>
      </c>
      <c r="I388" s="1">
        <v>6.2</v>
      </c>
      <c r="J388" s="2">
        <v>45455</v>
      </c>
      <c r="K388" s="2">
        <v>45646</v>
      </c>
      <c r="L388" s="2">
        <v>45543</v>
      </c>
      <c r="M388" t="s">
        <v>1546</v>
      </c>
      <c r="N388">
        <v>58</v>
      </c>
      <c r="O388">
        <v>36</v>
      </c>
      <c r="P388" t="s">
        <v>26</v>
      </c>
      <c r="Q388" t="str">
        <f t="shared" si="23"/>
        <v>OK</v>
      </c>
      <c r="R388" s="3">
        <f t="shared" si="25"/>
        <v>210.8</v>
      </c>
      <c r="S388">
        <f t="shared" si="24"/>
        <v>0</v>
      </c>
      <c r="T388" t="str">
        <f t="shared" si="26"/>
        <v>Sufficient Stock</v>
      </c>
    </row>
    <row r="389" spans="1:20" x14ac:dyDescent="0.3">
      <c r="A389" t="s">
        <v>1547</v>
      </c>
      <c r="B389" t="s">
        <v>1042</v>
      </c>
      <c r="C389" t="s">
        <v>132</v>
      </c>
      <c r="D389" t="s">
        <v>1548</v>
      </c>
      <c r="E389" t="s">
        <v>1004</v>
      </c>
      <c r="F389">
        <v>82</v>
      </c>
      <c r="G389">
        <v>25</v>
      </c>
      <c r="H389">
        <v>94</v>
      </c>
      <c r="I389" s="1">
        <v>7.5</v>
      </c>
      <c r="J389" s="2">
        <v>45381</v>
      </c>
      <c r="K389" s="2">
        <v>45367</v>
      </c>
      <c r="L389" s="2">
        <v>45703</v>
      </c>
      <c r="M389" t="s">
        <v>1549</v>
      </c>
      <c r="N389">
        <v>66</v>
      </c>
      <c r="O389">
        <v>14</v>
      </c>
      <c r="P389" t="s">
        <v>38</v>
      </c>
      <c r="Q389" t="str">
        <f t="shared" si="23"/>
        <v>Last Order before Received</v>
      </c>
      <c r="R389" s="3">
        <f t="shared" si="25"/>
        <v>615</v>
      </c>
      <c r="S389">
        <f t="shared" si="24"/>
        <v>0</v>
      </c>
      <c r="T389" t="str">
        <f t="shared" si="26"/>
        <v>Sufficient Stock</v>
      </c>
    </row>
    <row r="390" spans="1:20" x14ac:dyDescent="0.3">
      <c r="A390" t="s">
        <v>1550</v>
      </c>
      <c r="B390" t="s">
        <v>1551</v>
      </c>
      <c r="C390" t="s">
        <v>89</v>
      </c>
      <c r="D390" t="s">
        <v>1552</v>
      </c>
      <c r="E390" t="s">
        <v>1257</v>
      </c>
      <c r="F390">
        <v>17</v>
      </c>
      <c r="G390">
        <v>63</v>
      </c>
      <c r="H390">
        <v>3</v>
      </c>
      <c r="I390" s="1">
        <v>3.5</v>
      </c>
      <c r="J390" s="2">
        <v>45506</v>
      </c>
      <c r="K390" s="2">
        <v>45528</v>
      </c>
      <c r="L390" s="2">
        <v>45653</v>
      </c>
      <c r="M390" t="s">
        <v>1553</v>
      </c>
      <c r="N390">
        <v>93</v>
      </c>
      <c r="O390">
        <v>26</v>
      </c>
      <c r="P390" t="s">
        <v>38</v>
      </c>
      <c r="Q390" t="str">
        <f t="shared" si="23"/>
        <v>OK</v>
      </c>
      <c r="R390" s="3">
        <f t="shared" si="25"/>
        <v>59.5</v>
      </c>
      <c r="S390">
        <f t="shared" si="24"/>
        <v>46</v>
      </c>
      <c r="T390" t="str">
        <f t="shared" si="26"/>
        <v>Reorder Required</v>
      </c>
    </row>
    <row r="391" spans="1:20" x14ac:dyDescent="0.3">
      <c r="A391" t="s">
        <v>1554</v>
      </c>
      <c r="B391" t="s">
        <v>21</v>
      </c>
      <c r="C391" t="s">
        <v>22</v>
      </c>
      <c r="D391" t="s">
        <v>1555</v>
      </c>
      <c r="E391" t="s">
        <v>1261</v>
      </c>
      <c r="F391">
        <v>36</v>
      </c>
      <c r="G391">
        <v>81</v>
      </c>
      <c r="H391">
        <v>54</v>
      </c>
      <c r="I391" s="1">
        <v>4.75</v>
      </c>
      <c r="J391" s="2">
        <v>45480</v>
      </c>
      <c r="K391" s="2">
        <v>45646</v>
      </c>
      <c r="L391" s="2">
        <v>45535</v>
      </c>
      <c r="M391" t="s">
        <v>1556</v>
      </c>
      <c r="N391">
        <v>73</v>
      </c>
      <c r="O391">
        <v>60</v>
      </c>
      <c r="P391" t="s">
        <v>26</v>
      </c>
      <c r="Q391" t="str">
        <f t="shared" ref="Q391:Q454" si="27">IF(L391&lt;J391,"Expiry before Received",IF(K391&lt;J391,"Last Order before Received","OK"))</f>
        <v>OK</v>
      </c>
      <c r="R391" s="3">
        <f t="shared" si="25"/>
        <v>171</v>
      </c>
      <c r="S391">
        <f t="shared" si="24"/>
        <v>45</v>
      </c>
      <c r="T391" t="str">
        <f t="shared" si="26"/>
        <v>Reorder Required</v>
      </c>
    </row>
    <row r="392" spans="1:20" x14ac:dyDescent="0.3">
      <c r="A392" t="s">
        <v>1557</v>
      </c>
      <c r="B392" t="s">
        <v>532</v>
      </c>
      <c r="C392" t="s">
        <v>132</v>
      </c>
      <c r="D392" t="s">
        <v>1558</v>
      </c>
      <c r="E392" t="s">
        <v>245</v>
      </c>
      <c r="F392">
        <v>65</v>
      </c>
      <c r="G392">
        <v>79</v>
      </c>
      <c r="H392">
        <v>52</v>
      </c>
      <c r="I392" s="1">
        <v>8</v>
      </c>
      <c r="J392" s="2">
        <v>45424</v>
      </c>
      <c r="K392" s="2">
        <v>45568</v>
      </c>
      <c r="L392" s="2">
        <v>45442</v>
      </c>
      <c r="M392" t="s">
        <v>1559</v>
      </c>
      <c r="N392">
        <v>56</v>
      </c>
      <c r="O392">
        <v>94</v>
      </c>
      <c r="P392" t="s">
        <v>26</v>
      </c>
      <c r="Q392" t="str">
        <f t="shared" si="27"/>
        <v>OK</v>
      </c>
      <c r="R392" s="3">
        <f t="shared" si="25"/>
        <v>520</v>
      </c>
      <c r="S392">
        <f t="shared" si="24"/>
        <v>14</v>
      </c>
      <c r="T392" t="str">
        <f t="shared" si="26"/>
        <v>Reorder Required</v>
      </c>
    </row>
    <row r="393" spans="1:20" x14ac:dyDescent="0.3">
      <c r="A393" t="s">
        <v>1560</v>
      </c>
      <c r="B393" t="s">
        <v>1205</v>
      </c>
      <c r="C393" t="s">
        <v>47</v>
      </c>
      <c r="D393" t="s">
        <v>1561</v>
      </c>
      <c r="E393" t="s">
        <v>313</v>
      </c>
      <c r="F393">
        <v>45</v>
      </c>
      <c r="G393">
        <v>28</v>
      </c>
      <c r="H393">
        <v>6</v>
      </c>
      <c r="I393" s="1">
        <v>4.5</v>
      </c>
      <c r="J393" s="2">
        <v>45369</v>
      </c>
      <c r="K393" s="2">
        <v>45680</v>
      </c>
      <c r="L393" s="2">
        <v>45526</v>
      </c>
      <c r="M393" t="s">
        <v>1562</v>
      </c>
      <c r="N393">
        <v>35</v>
      </c>
      <c r="O393">
        <v>16</v>
      </c>
      <c r="P393" t="s">
        <v>26</v>
      </c>
      <c r="Q393" t="str">
        <f t="shared" si="27"/>
        <v>OK</v>
      </c>
      <c r="R393" s="3">
        <f t="shared" si="25"/>
        <v>202.5</v>
      </c>
      <c r="S393">
        <f t="shared" si="24"/>
        <v>0</v>
      </c>
      <c r="T393" t="str">
        <f t="shared" si="26"/>
        <v>Sufficient Stock</v>
      </c>
    </row>
    <row r="394" spans="1:20" x14ac:dyDescent="0.3">
      <c r="A394" t="s">
        <v>1563</v>
      </c>
      <c r="B394" t="s">
        <v>63</v>
      </c>
      <c r="C394" t="s">
        <v>64</v>
      </c>
      <c r="D394" t="s">
        <v>1564</v>
      </c>
      <c r="E394" t="s">
        <v>413</v>
      </c>
      <c r="F394">
        <v>35</v>
      </c>
      <c r="G394">
        <v>78</v>
      </c>
      <c r="H394">
        <v>68</v>
      </c>
      <c r="I394" s="1">
        <v>2.5</v>
      </c>
      <c r="J394" s="2">
        <v>45394</v>
      </c>
      <c r="K394" s="2">
        <v>45676</v>
      </c>
      <c r="L394" s="2">
        <v>45477</v>
      </c>
      <c r="M394" t="s">
        <v>1565</v>
      </c>
      <c r="N394">
        <v>95</v>
      </c>
      <c r="O394">
        <v>91</v>
      </c>
      <c r="P394" t="s">
        <v>26</v>
      </c>
      <c r="Q394" t="str">
        <f t="shared" si="27"/>
        <v>OK</v>
      </c>
      <c r="R394" s="3">
        <f t="shared" si="25"/>
        <v>87.5</v>
      </c>
      <c r="S394">
        <f t="shared" si="24"/>
        <v>43</v>
      </c>
      <c r="T394" t="str">
        <f t="shared" si="26"/>
        <v>Reorder Required</v>
      </c>
    </row>
    <row r="395" spans="1:20" x14ac:dyDescent="0.3">
      <c r="A395" t="s">
        <v>1566</v>
      </c>
      <c r="B395" t="s">
        <v>108</v>
      </c>
      <c r="C395" t="s">
        <v>22</v>
      </c>
      <c r="D395" t="s">
        <v>1567</v>
      </c>
      <c r="E395" t="s">
        <v>1568</v>
      </c>
      <c r="F395">
        <v>96</v>
      </c>
      <c r="G395">
        <v>83</v>
      </c>
      <c r="H395">
        <v>50</v>
      </c>
      <c r="I395" s="1">
        <v>1.5</v>
      </c>
      <c r="J395" s="2">
        <v>45569</v>
      </c>
      <c r="K395" s="2">
        <v>45381</v>
      </c>
      <c r="L395" s="2">
        <v>45442</v>
      </c>
      <c r="M395" t="s">
        <v>1569</v>
      </c>
      <c r="N395">
        <v>81</v>
      </c>
      <c r="O395">
        <v>89</v>
      </c>
      <c r="P395" t="s">
        <v>26</v>
      </c>
      <c r="Q395" t="str">
        <f t="shared" si="27"/>
        <v>Expiry before Received</v>
      </c>
      <c r="R395" s="3">
        <f t="shared" si="25"/>
        <v>144</v>
      </c>
      <c r="S395">
        <f t="shared" si="24"/>
        <v>0</v>
      </c>
      <c r="T395" t="str">
        <f t="shared" si="26"/>
        <v>Sufficient Stock</v>
      </c>
    </row>
    <row r="396" spans="1:20" x14ac:dyDescent="0.3">
      <c r="A396" t="s">
        <v>1570</v>
      </c>
      <c r="B396" t="s">
        <v>528</v>
      </c>
      <c r="C396" t="s">
        <v>47</v>
      </c>
      <c r="D396" t="s">
        <v>1571</v>
      </c>
      <c r="E396" t="s">
        <v>271</v>
      </c>
      <c r="F396">
        <v>56</v>
      </c>
      <c r="G396">
        <v>75</v>
      </c>
      <c r="H396">
        <v>13</v>
      </c>
      <c r="I396" s="1">
        <v>5</v>
      </c>
      <c r="J396" s="2">
        <v>45539</v>
      </c>
      <c r="K396" s="2">
        <v>45386</v>
      </c>
      <c r="L396" s="2">
        <v>45433</v>
      </c>
      <c r="M396" t="s">
        <v>1572</v>
      </c>
      <c r="N396">
        <v>42</v>
      </c>
      <c r="O396">
        <v>53</v>
      </c>
      <c r="P396" t="s">
        <v>38</v>
      </c>
      <c r="Q396" t="str">
        <f t="shared" si="27"/>
        <v>Expiry before Received</v>
      </c>
      <c r="R396" s="3">
        <f t="shared" si="25"/>
        <v>280</v>
      </c>
      <c r="S396">
        <f t="shared" si="24"/>
        <v>19</v>
      </c>
      <c r="T396" t="str">
        <f t="shared" si="26"/>
        <v>Reorder Required</v>
      </c>
    </row>
    <row r="397" spans="1:20" x14ac:dyDescent="0.3">
      <c r="A397" t="s">
        <v>1573</v>
      </c>
      <c r="B397" t="s">
        <v>328</v>
      </c>
      <c r="C397" t="s">
        <v>64</v>
      </c>
      <c r="D397" t="s">
        <v>1574</v>
      </c>
      <c r="E397" t="s">
        <v>596</v>
      </c>
      <c r="F397">
        <v>49</v>
      </c>
      <c r="G397">
        <v>94</v>
      </c>
      <c r="H397">
        <v>18</v>
      </c>
      <c r="I397" s="1">
        <v>6</v>
      </c>
      <c r="J397" s="2">
        <v>45638</v>
      </c>
      <c r="K397" s="2">
        <v>45514</v>
      </c>
      <c r="L397" s="2">
        <v>45398</v>
      </c>
      <c r="M397" t="s">
        <v>1575</v>
      </c>
      <c r="N397">
        <v>38</v>
      </c>
      <c r="O397">
        <v>11</v>
      </c>
      <c r="P397" t="s">
        <v>44</v>
      </c>
      <c r="Q397" t="str">
        <f t="shared" si="27"/>
        <v>Expiry before Received</v>
      </c>
      <c r="R397" s="3">
        <f t="shared" si="25"/>
        <v>294</v>
      </c>
      <c r="S397">
        <f t="shared" si="24"/>
        <v>45</v>
      </c>
      <c r="T397" t="str">
        <f t="shared" si="26"/>
        <v>Reorder Required</v>
      </c>
    </row>
    <row r="398" spans="1:20" x14ac:dyDescent="0.3">
      <c r="A398" t="s">
        <v>1576</v>
      </c>
      <c r="B398" t="s">
        <v>152</v>
      </c>
      <c r="C398" t="s">
        <v>22</v>
      </c>
      <c r="D398" t="s">
        <v>1577</v>
      </c>
      <c r="E398" t="s">
        <v>432</v>
      </c>
      <c r="F398">
        <v>100</v>
      </c>
      <c r="G398">
        <v>10</v>
      </c>
      <c r="H398">
        <v>89</v>
      </c>
      <c r="I398" s="1">
        <v>1.5</v>
      </c>
      <c r="J398" s="2">
        <v>45405</v>
      </c>
      <c r="K398" s="2">
        <v>45658</v>
      </c>
      <c r="L398" s="2">
        <v>45464</v>
      </c>
      <c r="M398" t="s">
        <v>1578</v>
      </c>
      <c r="N398">
        <v>76</v>
      </c>
      <c r="O398">
        <v>38</v>
      </c>
      <c r="P398" t="s">
        <v>38</v>
      </c>
      <c r="Q398" t="str">
        <f t="shared" si="27"/>
        <v>OK</v>
      </c>
      <c r="R398" s="3">
        <f t="shared" si="25"/>
        <v>150</v>
      </c>
      <c r="S398">
        <f t="shared" si="24"/>
        <v>0</v>
      </c>
      <c r="T398" t="str">
        <f t="shared" si="26"/>
        <v>Sufficient Stock</v>
      </c>
    </row>
    <row r="399" spans="1:20" x14ac:dyDescent="0.3">
      <c r="A399" t="s">
        <v>1579</v>
      </c>
      <c r="B399" t="s">
        <v>196</v>
      </c>
      <c r="C399" t="s">
        <v>132</v>
      </c>
      <c r="D399" t="s">
        <v>1580</v>
      </c>
      <c r="E399" t="s">
        <v>1581</v>
      </c>
      <c r="F399">
        <v>30</v>
      </c>
      <c r="G399">
        <v>81</v>
      </c>
      <c r="H399">
        <v>99</v>
      </c>
      <c r="I399" s="1">
        <v>9</v>
      </c>
      <c r="J399" s="2">
        <v>45495</v>
      </c>
      <c r="K399" s="2">
        <v>45687</v>
      </c>
      <c r="L399" s="2">
        <v>45458</v>
      </c>
      <c r="M399" t="s">
        <v>1582</v>
      </c>
      <c r="N399">
        <v>99</v>
      </c>
      <c r="O399">
        <v>3</v>
      </c>
      <c r="P399" t="s">
        <v>38</v>
      </c>
      <c r="Q399" t="str">
        <f t="shared" si="27"/>
        <v>Expiry before Received</v>
      </c>
      <c r="R399" s="3">
        <f t="shared" si="25"/>
        <v>270</v>
      </c>
      <c r="S399">
        <f t="shared" si="24"/>
        <v>51</v>
      </c>
      <c r="T399" t="str">
        <f t="shared" si="26"/>
        <v>Reorder Required</v>
      </c>
    </row>
    <row r="400" spans="1:20" x14ac:dyDescent="0.3">
      <c r="A400" t="s">
        <v>1583</v>
      </c>
      <c r="B400" t="s">
        <v>1205</v>
      </c>
      <c r="C400" t="s">
        <v>47</v>
      </c>
      <c r="D400" t="s">
        <v>1584</v>
      </c>
      <c r="E400" t="s">
        <v>42</v>
      </c>
      <c r="F400">
        <v>20</v>
      </c>
      <c r="G400">
        <v>91</v>
      </c>
      <c r="H400">
        <v>12</v>
      </c>
      <c r="I400" s="1">
        <v>4.5</v>
      </c>
      <c r="J400" s="2">
        <v>45622</v>
      </c>
      <c r="K400" s="2">
        <v>45639</v>
      </c>
      <c r="L400" s="2">
        <v>45627</v>
      </c>
      <c r="M400" t="s">
        <v>1585</v>
      </c>
      <c r="N400">
        <v>35</v>
      </c>
      <c r="O400">
        <v>50</v>
      </c>
      <c r="P400" t="s">
        <v>44</v>
      </c>
      <c r="Q400" t="str">
        <f t="shared" si="27"/>
        <v>OK</v>
      </c>
      <c r="R400" s="3">
        <f t="shared" si="25"/>
        <v>90</v>
      </c>
      <c r="S400">
        <f t="shared" si="24"/>
        <v>71</v>
      </c>
      <c r="T400" t="str">
        <f t="shared" si="26"/>
        <v>Reorder Required</v>
      </c>
    </row>
    <row r="401" spans="1:20" x14ac:dyDescent="0.3">
      <c r="A401" t="s">
        <v>1586</v>
      </c>
      <c r="B401" t="s">
        <v>737</v>
      </c>
      <c r="C401" t="s">
        <v>58</v>
      </c>
      <c r="D401" t="s">
        <v>1587</v>
      </c>
      <c r="E401" t="s">
        <v>1588</v>
      </c>
      <c r="F401">
        <v>85</v>
      </c>
      <c r="G401">
        <v>15</v>
      </c>
      <c r="H401">
        <v>16</v>
      </c>
      <c r="I401" s="1">
        <v>6.5</v>
      </c>
      <c r="J401" s="2">
        <v>45425</v>
      </c>
      <c r="K401" s="2">
        <v>45707</v>
      </c>
      <c r="L401" s="2">
        <v>45488</v>
      </c>
      <c r="M401" t="s">
        <v>1589</v>
      </c>
      <c r="N401">
        <v>46</v>
      </c>
      <c r="O401">
        <v>24</v>
      </c>
      <c r="P401" t="s">
        <v>26</v>
      </c>
      <c r="Q401" t="str">
        <f t="shared" si="27"/>
        <v>OK</v>
      </c>
      <c r="R401" s="3">
        <f t="shared" si="25"/>
        <v>552.5</v>
      </c>
      <c r="S401">
        <f t="shared" si="24"/>
        <v>0</v>
      </c>
      <c r="T401" t="str">
        <f t="shared" si="26"/>
        <v>Sufficient Stock</v>
      </c>
    </row>
    <row r="402" spans="1:20" x14ac:dyDescent="0.3">
      <c r="A402" t="s">
        <v>1590</v>
      </c>
      <c r="B402" t="s">
        <v>137</v>
      </c>
      <c r="C402" t="s">
        <v>47</v>
      </c>
      <c r="D402" t="s">
        <v>1591</v>
      </c>
      <c r="E402" t="s">
        <v>821</v>
      </c>
      <c r="F402">
        <v>86</v>
      </c>
      <c r="G402">
        <v>90</v>
      </c>
      <c r="H402">
        <v>39</v>
      </c>
      <c r="I402" s="1">
        <v>2.1</v>
      </c>
      <c r="J402" s="2">
        <v>45585</v>
      </c>
      <c r="K402" s="2">
        <v>45350</v>
      </c>
      <c r="L402" s="2">
        <v>45542</v>
      </c>
      <c r="M402" t="s">
        <v>1592</v>
      </c>
      <c r="N402">
        <v>98</v>
      </c>
      <c r="O402">
        <v>85</v>
      </c>
      <c r="P402" t="s">
        <v>44</v>
      </c>
      <c r="Q402" t="str">
        <f t="shared" si="27"/>
        <v>Expiry before Received</v>
      </c>
      <c r="R402" s="3">
        <f t="shared" si="25"/>
        <v>180.6</v>
      </c>
      <c r="S402">
        <f t="shared" si="24"/>
        <v>4</v>
      </c>
      <c r="T402" t="str">
        <f t="shared" si="26"/>
        <v>Reorder Required</v>
      </c>
    </row>
    <row r="403" spans="1:20" x14ac:dyDescent="0.3">
      <c r="A403" t="s">
        <v>1593</v>
      </c>
      <c r="B403" t="s">
        <v>265</v>
      </c>
      <c r="C403" t="s">
        <v>89</v>
      </c>
      <c r="D403" t="s">
        <v>1594</v>
      </c>
      <c r="E403" t="s">
        <v>1595</v>
      </c>
      <c r="F403">
        <v>65</v>
      </c>
      <c r="G403">
        <v>79</v>
      </c>
      <c r="H403">
        <v>49</v>
      </c>
      <c r="I403" s="1">
        <v>4</v>
      </c>
      <c r="J403" s="2">
        <v>45384</v>
      </c>
      <c r="K403" s="2">
        <v>45453</v>
      </c>
      <c r="L403" s="2">
        <v>45582</v>
      </c>
      <c r="M403" t="s">
        <v>1596</v>
      </c>
      <c r="N403">
        <v>100</v>
      </c>
      <c r="O403">
        <v>9</v>
      </c>
      <c r="P403" t="s">
        <v>26</v>
      </c>
      <c r="Q403" t="str">
        <f t="shared" si="27"/>
        <v>OK</v>
      </c>
      <c r="R403" s="3">
        <f t="shared" si="25"/>
        <v>260</v>
      </c>
      <c r="S403">
        <f t="shared" si="24"/>
        <v>14</v>
      </c>
      <c r="T403" t="str">
        <f t="shared" si="26"/>
        <v>Reorder Required</v>
      </c>
    </row>
    <row r="404" spans="1:20" x14ac:dyDescent="0.3">
      <c r="A404" t="s">
        <v>1597</v>
      </c>
      <c r="B404" t="s">
        <v>492</v>
      </c>
      <c r="C404" t="s">
        <v>64</v>
      </c>
      <c r="D404" t="s">
        <v>1598</v>
      </c>
      <c r="E404" t="s">
        <v>848</v>
      </c>
      <c r="F404">
        <v>67</v>
      </c>
      <c r="G404">
        <v>98</v>
      </c>
      <c r="H404">
        <v>92</v>
      </c>
      <c r="I404" s="1">
        <v>5</v>
      </c>
      <c r="J404" s="2">
        <v>45404</v>
      </c>
      <c r="K404" s="2">
        <v>45535</v>
      </c>
      <c r="L404" s="2">
        <v>45633</v>
      </c>
      <c r="M404" t="s">
        <v>1599</v>
      </c>
      <c r="N404">
        <v>35</v>
      </c>
      <c r="O404">
        <v>98</v>
      </c>
      <c r="P404" t="s">
        <v>38</v>
      </c>
      <c r="Q404" t="str">
        <f t="shared" si="27"/>
        <v>OK</v>
      </c>
      <c r="R404" s="3">
        <f t="shared" si="25"/>
        <v>335</v>
      </c>
      <c r="S404">
        <f t="shared" si="24"/>
        <v>31</v>
      </c>
      <c r="T404" t="str">
        <f t="shared" si="26"/>
        <v>Reorder Required</v>
      </c>
    </row>
    <row r="405" spans="1:20" x14ac:dyDescent="0.3">
      <c r="A405" t="s">
        <v>1600</v>
      </c>
      <c r="B405" t="s">
        <v>328</v>
      </c>
      <c r="C405" t="s">
        <v>64</v>
      </c>
      <c r="D405" t="s">
        <v>1601</v>
      </c>
      <c r="E405" t="s">
        <v>1135</v>
      </c>
      <c r="F405">
        <v>88</v>
      </c>
      <c r="G405">
        <v>4</v>
      </c>
      <c r="H405">
        <v>79</v>
      </c>
      <c r="I405" s="1">
        <v>6</v>
      </c>
      <c r="J405" s="2">
        <v>45406</v>
      </c>
      <c r="K405" s="2">
        <v>45445</v>
      </c>
      <c r="L405" s="2">
        <v>45518</v>
      </c>
      <c r="M405" t="s">
        <v>1602</v>
      </c>
      <c r="N405">
        <v>23</v>
      </c>
      <c r="O405">
        <v>39</v>
      </c>
      <c r="P405" t="s">
        <v>26</v>
      </c>
      <c r="Q405" t="str">
        <f t="shared" si="27"/>
        <v>OK</v>
      </c>
      <c r="R405" s="3">
        <f t="shared" si="25"/>
        <v>528</v>
      </c>
      <c r="S405">
        <f t="shared" si="24"/>
        <v>0</v>
      </c>
      <c r="T405" t="str">
        <f t="shared" si="26"/>
        <v>Sufficient Stock</v>
      </c>
    </row>
    <row r="406" spans="1:20" x14ac:dyDescent="0.3">
      <c r="A406" t="s">
        <v>1603</v>
      </c>
      <c r="B406" t="s">
        <v>775</v>
      </c>
      <c r="C406" t="s">
        <v>29</v>
      </c>
      <c r="D406" t="s">
        <v>1604</v>
      </c>
      <c r="E406" t="s">
        <v>1605</v>
      </c>
      <c r="F406">
        <v>14</v>
      </c>
      <c r="G406">
        <v>77</v>
      </c>
      <c r="H406">
        <v>78</v>
      </c>
      <c r="I406" s="1">
        <v>10</v>
      </c>
      <c r="J406" s="2">
        <v>45506</v>
      </c>
      <c r="K406" s="2">
        <v>45532</v>
      </c>
      <c r="L406" s="2">
        <v>45536</v>
      </c>
      <c r="M406" t="s">
        <v>1606</v>
      </c>
      <c r="N406">
        <v>32</v>
      </c>
      <c r="O406">
        <v>24</v>
      </c>
      <c r="P406" t="s">
        <v>26</v>
      </c>
      <c r="Q406" t="str">
        <f t="shared" si="27"/>
        <v>OK</v>
      </c>
      <c r="R406" s="3">
        <f t="shared" si="25"/>
        <v>140</v>
      </c>
      <c r="S406">
        <f t="shared" si="24"/>
        <v>63</v>
      </c>
      <c r="T406" t="str">
        <f t="shared" si="26"/>
        <v>Reorder Required</v>
      </c>
    </row>
    <row r="407" spans="1:20" x14ac:dyDescent="0.3">
      <c r="A407" t="s">
        <v>1607</v>
      </c>
      <c r="B407" t="s">
        <v>508</v>
      </c>
      <c r="C407" t="s">
        <v>132</v>
      </c>
      <c r="D407" t="s">
        <v>1608</v>
      </c>
      <c r="E407" t="s">
        <v>1304</v>
      </c>
      <c r="F407">
        <v>85</v>
      </c>
      <c r="G407">
        <v>92</v>
      </c>
      <c r="H407">
        <v>66</v>
      </c>
      <c r="I407" s="1">
        <v>6.7</v>
      </c>
      <c r="J407" s="2">
        <v>45379</v>
      </c>
      <c r="K407" s="2">
        <v>45658</v>
      </c>
      <c r="L407" s="2">
        <v>45415</v>
      </c>
      <c r="M407" t="s">
        <v>1609</v>
      </c>
      <c r="N407">
        <v>54</v>
      </c>
      <c r="O407">
        <v>85</v>
      </c>
      <c r="P407" t="s">
        <v>38</v>
      </c>
      <c r="Q407" t="str">
        <f t="shared" si="27"/>
        <v>OK</v>
      </c>
      <c r="R407" s="3">
        <f t="shared" si="25"/>
        <v>569.5</v>
      </c>
      <c r="S407">
        <f t="shared" si="24"/>
        <v>7</v>
      </c>
      <c r="T407" t="str">
        <f t="shared" si="26"/>
        <v>Reorder Required</v>
      </c>
    </row>
    <row r="408" spans="1:20" x14ac:dyDescent="0.3">
      <c r="A408" t="s">
        <v>1610</v>
      </c>
      <c r="B408" t="s">
        <v>103</v>
      </c>
      <c r="C408" t="s">
        <v>64</v>
      </c>
      <c r="D408" t="s">
        <v>1611</v>
      </c>
      <c r="E408" t="s">
        <v>71</v>
      </c>
      <c r="F408">
        <v>74</v>
      </c>
      <c r="G408">
        <v>65</v>
      </c>
      <c r="H408">
        <v>5</v>
      </c>
      <c r="I408" s="1">
        <v>7</v>
      </c>
      <c r="J408" s="2">
        <v>45687</v>
      </c>
      <c r="K408" s="2">
        <v>45500</v>
      </c>
      <c r="L408" s="2">
        <v>45367</v>
      </c>
      <c r="M408" t="s">
        <v>1612</v>
      </c>
      <c r="N408">
        <v>21</v>
      </c>
      <c r="O408">
        <v>42</v>
      </c>
      <c r="P408" t="s">
        <v>26</v>
      </c>
      <c r="Q408" t="str">
        <f t="shared" si="27"/>
        <v>Expiry before Received</v>
      </c>
      <c r="R408" s="3">
        <f t="shared" si="25"/>
        <v>518</v>
      </c>
      <c r="S408">
        <f t="shared" si="24"/>
        <v>0</v>
      </c>
      <c r="T408" t="str">
        <f t="shared" si="26"/>
        <v>Sufficient Stock</v>
      </c>
    </row>
    <row r="409" spans="1:20" x14ac:dyDescent="0.3">
      <c r="A409" t="s">
        <v>1613</v>
      </c>
      <c r="B409" t="s">
        <v>719</v>
      </c>
      <c r="C409" t="s">
        <v>64</v>
      </c>
      <c r="D409" t="s">
        <v>1614</v>
      </c>
      <c r="E409" t="s">
        <v>1615</v>
      </c>
      <c r="F409">
        <v>21</v>
      </c>
      <c r="G409">
        <v>28</v>
      </c>
      <c r="H409">
        <v>72</v>
      </c>
      <c r="I409" s="1">
        <v>9</v>
      </c>
      <c r="J409" s="2">
        <v>45685</v>
      </c>
      <c r="K409" s="2">
        <v>45350</v>
      </c>
      <c r="L409" s="2">
        <v>45347</v>
      </c>
      <c r="M409" t="s">
        <v>1616</v>
      </c>
      <c r="N409">
        <v>69</v>
      </c>
      <c r="O409">
        <v>51</v>
      </c>
      <c r="P409" t="s">
        <v>38</v>
      </c>
      <c r="Q409" t="str">
        <f t="shared" si="27"/>
        <v>Expiry before Received</v>
      </c>
      <c r="R409" s="3">
        <f t="shared" si="25"/>
        <v>189</v>
      </c>
      <c r="S409">
        <f t="shared" si="24"/>
        <v>7</v>
      </c>
      <c r="T409" t="str">
        <f t="shared" si="26"/>
        <v>Reorder Required</v>
      </c>
    </row>
    <row r="410" spans="1:20" x14ac:dyDescent="0.3">
      <c r="A410" t="s">
        <v>1617</v>
      </c>
      <c r="B410" t="s">
        <v>397</v>
      </c>
      <c r="C410" t="s">
        <v>89</v>
      </c>
      <c r="D410" t="s">
        <v>1618</v>
      </c>
      <c r="E410" t="s">
        <v>907</v>
      </c>
      <c r="F410">
        <v>22</v>
      </c>
      <c r="G410">
        <v>24</v>
      </c>
      <c r="H410">
        <v>94</v>
      </c>
      <c r="I410" s="1">
        <v>6</v>
      </c>
      <c r="J410" s="2">
        <v>45492</v>
      </c>
      <c r="K410" s="2">
        <v>45494</v>
      </c>
      <c r="L410" s="2">
        <v>45609</v>
      </c>
      <c r="M410" t="s">
        <v>1619</v>
      </c>
      <c r="N410">
        <v>47</v>
      </c>
      <c r="O410">
        <v>71</v>
      </c>
      <c r="P410" t="s">
        <v>44</v>
      </c>
      <c r="Q410" t="str">
        <f t="shared" si="27"/>
        <v>OK</v>
      </c>
      <c r="R410" s="3">
        <f t="shared" si="25"/>
        <v>132</v>
      </c>
      <c r="S410">
        <f t="shared" si="24"/>
        <v>2</v>
      </c>
      <c r="T410" t="str">
        <f t="shared" si="26"/>
        <v>Reorder Required</v>
      </c>
    </row>
    <row r="411" spans="1:20" x14ac:dyDescent="0.3">
      <c r="A411" t="s">
        <v>1620</v>
      </c>
      <c r="B411" t="s">
        <v>328</v>
      </c>
      <c r="C411" t="s">
        <v>64</v>
      </c>
      <c r="D411" t="s">
        <v>1621</v>
      </c>
      <c r="E411" t="s">
        <v>614</v>
      </c>
      <c r="F411">
        <v>91</v>
      </c>
      <c r="G411">
        <v>14</v>
      </c>
      <c r="H411">
        <v>99</v>
      </c>
      <c r="I411" s="1">
        <v>6</v>
      </c>
      <c r="J411" s="2">
        <v>45698</v>
      </c>
      <c r="K411" s="2">
        <v>45682</v>
      </c>
      <c r="L411" s="2">
        <v>45679</v>
      </c>
      <c r="M411" t="s">
        <v>1622</v>
      </c>
      <c r="N411">
        <v>50</v>
      </c>
      <c r="O411">
        <v>5</v>
      </c>
      <c r="P411" t="s">
        <v>38</v>
      </c>
      <c r="Q411" t="str">
        <f t="shared" si="27"/>
        <v>Expiry before Received</v>
      </c>
      <c r="R411" s="3">
        <f t="shared" si="25"/>
        <v>546</v>
      </c>
      <c r="S411">
        <f t="shared" si="24"/>
        <v>0</v>
      </c>
      <c r="T411" t="str">
        <f t="shared" si="26"/>
        <v>Sufficient Stock</v>
      </c>
    </row>
    <row r="412" spans="1:20" x14ac:dyDescent="0.3">
      <c r="A412" t="s">
        <v>1623</v>
      </c>
      <c r="B412" t="s">
        <v>243</v>
      </c>
      <c r="C412" t="s">
        <v>89</v>
      </c>
      <c r="D412" t="s">
        <v>1624</v>
      </c>
      <c r="E412" t="s">
        <v>1605</v>
      </c>
      <c r="F412">
        <v>85</v>
      </c>
      <c r="G412">
        <v>57</v>
      </c>
      <c r="H412">
        <v>25</v>
      </c>
      <c r="I412" s="1">
        <v>3.5</v>
      </c>
      <c r="J412" s="2">
        <v>45706</v>
      </c>
      <c r="K412" s="2">
        <v>45561</v>
      </c>
      <c r="L412" s="2">
        <v>45463</v>
      </c>
      <c r="M412" t="s">
        <v>1625</v>
      </c>
      <c r="N412">
        <v>30</v>
      </c>
      <c r="O412">
        <v>42</v>
      </c>
      <c r="P412" t="s">
        <v>26</v>
      </c>
      <c r="Q412" t="str">
        <f t="shared" si="27"/>
        <v>Expiry before Received</v>
      </c>
      <c r="R412" s="3">
        <f t="shared" si="25"/>
        <v>297.5</v>
      </c>
      <c r="S412">
        <f t="shared" si="24"/>
        <v>0</v>
      </c>
      <c r="T412" t="str">
        <f t="shared" si="26"/>
        <v>Sufficient Stock</v>
      </c>
    </row>
    <row r="413" spans="1:20" x14ac:dyDescent="0.3">
      <c r="A413" t="s">
        <v>1626</v>
      </c>
      <c r="B413" t="s">
        <v>402</v>
      </c>
      <c r="C413" t="s">
        <v>47</v>
      </c>
      <c r="D413" t="s">
        <v>1627</v>
      </c>
      <c r="E413" t="s">
        <v>1628</v>
      </c>
      <c r="F413">
        <v>12</v>
      </c>
      <c r="G413">
        <v>28</v>
      </c>
      <c r="H413">
        <v>11</v>
      </c>
      <c r="I413" s="1">
        <v>3</v>
      </c>
      <c r="J413" s="2">
        <v>45430</v>
      </c>
      <c r="K413" s="2">
        <v>45662</v>
      </c>
      <c r="L413" s="2">
        <v>45399</v>
      </c>
      <c r="M413" t="s">
        <v>1629</v>
      </c>
      <c r="N413">
        <v>46</v>
      </c>
      <c r="O413">
        <v>88</v>
      </c>
      <c r="P413" t="s">
        <v>38</v>
      </c>
      <c r="Q413" t="str">
        <f t="shared" si="27"/>
        <v>Expiry before Received</v>
      </c>
      <c r="R413" s="3">
        <f t="shared" si="25"/>
        <v>36</v>
      </c>
      <c r="S413">
        <f t="shared" si="24"/>
        <v>16</v>
      </c>
      <c r="T413" t="str">
        <f t="shared" si="26"/>
        <v>Reorder Required</v>
      </c>
    </row>
    <row r="414" spans="1:20" x14ac:dyDescent="0.3">
      <c r="A414" t="s">
        <v>1630</v>
      </c>
      <c r="B414" t="s">
        <v>545</v>
      </c>
      <c r="C414" t="s">
        <v>47</v>
      </c>
      <c r="D414" t="s">
        <v>1631</v>
      </c>
      <c r="E414" t="s">
        <v>1632</v>
      </c>
      <c r="F414">
        <v>43</v>
      </c>
      <c r="G414">
        <v>65</v>
      </c>
      <c r="H414">
        <v>66</v>
      </c>
      <c r="I414" s="1">
        <v>6</v>
      </c>
      <c r="J414" s="2">
        <v>45647</v>
      </c>
      <c r="K414" s="2">
        <v>45538</v>
      </c>
      <c r="L414" s="2">
        <v>45673</v>
      </c>
      <c r="M414" t="s">
        <v>1633</v>
      </c>
      <c r="N414">
        <v>78</v>
      </c>
      <c r="O414">
        <v>73</v>
      </c>
      <c r="P414" t="s">
        <v>38</v>
      </c>
      <c r="Q414" t="str">
        <f t="shared" si="27"/>
        <v>Last Order before Received</v>
      </c>
      <c r="R414" s="3">
        <f t="shared" si="25"/>
        <v>258</v>
      </c>
      <c r="S414">
        <f t="shared" si="24"/>
        <v>22</v>
      </c>
      <c r="T414" t="str">
        <f t="shared" si="26"/>
        <v>Reorder Required</v>
      </c>
    </row>
    <row r="415" spans="1:20" x14ac:dyDescent="0.3">
      <c r="A415" t="s">
        <v>1634</v>
      </c>
      <c r="B415" t="s">
        <v>1218</v>
      </c>
      <c r="C415" t="s">
        <v>64</v>
      </c>
      <c r="D415" t="s">
        <v>1635</v>
      </c>
      <c r="E415" t="s">
        <v>1024</v>
      </c>
      <c r="F415">
        <v>92</v>
      </c>
      <c r="G415">
        <v>92</v>
      </c>
      <c r="H415">
        <v>28</v>
      </c>
      <c r="I415" s="1">
        <v>1.75</v>
      </c>
      <c r="J415" s="2">
        <v>45678</v>
      </c>
      <c r="K415" s="2">
        <v>45545</v>
      </c>
      <c r="L415" s="2">
        <v>45648</v>
      </c>
      <c r="M415" t="s">
        <v>1636</v>
      </c>
      <c r="N415">
        <v>50</v>
      </c>
      <c r="O415">
        <v>67</v>
      </c>
      <c r="P415" t="s">
        <v>26</v>
      </c>
      <c r="Q415" t="str">
        <f t="shared" si="27"/>
        <v>Expiry before Received</v>
      </c>
      <c r="R415" s="3">
        <f t="shared" si="25"/>
        <v>161</v>
      </c>
      <c r="S415">
        <f t="shared" si="24"/>
        <v>0</v>
      </c>
      <c r="T415" t="str">
        <f t="shared" si="26"/>
        <v>Sufficient Stock</v>
      </c>
    </row>
    <row r="416" spans="1:20" x14ac:dyDescent="0.3">
      <c r="A416" t="s">
        <v>1637</v>
      </c>
      <c r="B416" t="s">
        <v>780</v>
      </c>
      <c r="C416" t="s">
        <v>47</v>
      </c>
      <c r="D416" t="s">
        <v>1638</v>
      </c>
      <c r="E416" t="s">
        <v>1639</v>
      </c>
      <c r="F416">
        <v>23</v>
      </c>
      <c r="G416">
        <v>85</v>
      </c>
      <c r="H416">
        <v>94</v>
      </c>
      <c r="I416" s="1">
        <v>3</v>
      </c>
      <c r="J416" s="2">
        <v>45577</v>
      </c>
      <c r="K416" s="2">
        <v>45496</v>
      </c>
      <c r="L416" s="2">
        <v>45685</v>
      </c>
      <c r="M416" t="s">
        <v>1640</v>
      </c>
      <c r="N416">
        <v>92</v>
      </c>
      <c r="O416">
        <v>72</v>
      </c>
      <c r="P416" t="s">
        <v>38</v>
      </c>
      <c r="Q416" t="str">
        <f t="shared" si="27"/>
        <v>Last Order before Received</v>
      </c>
      <c r="R416" s="3">
        <f t="shared" si="25"/>
        <v>69</v>
      </c>
      <c r="S416">
        <f t="shared" si="24"/>
        <v>62</v>
      </c>
      <c r="T416" t="str">
        <f t="shared" si="26"/>
        <v>Reorder Required</v>
      </c>
    </row>
    <row r="417" spans="1:20" x14ac:dyDescent="0.3">
      <c r="A417" t="s">
        <v>1641</v>
      </c>
      <c r="B417" t="s">
        <v>74</v>
      </c>
      <c r="C417" t="s">
        <v>64</v>
      </c>
      <c r="D417" t="s">
        <v>1642</v>
      </c>
      <c r="E417" t="s">
        <v>1643</v>
      </c>
      <c r="F417">
        <v>77</v>
      </c>
      <c r="G417">
        <v>1</v>
      </c>
      <c r="H417">
        <v>41</v>
      </c>
      <c r="I417" s="1">
        <v>1</v>
      </c>
      <c r="J417" s="2">
        <v>45601</v>
      </c>
      <c r="K417" s="2">
        <v>45693</v>
      </c>
      <c r="L417" s="2">
        <v>45372</v>
      </c>
      <c r="M417" t="s">
        <v>1644</v>
      </c>
      <c r="N417">
        <v>58</v>
      </c>
      <c r="O417">
        <v>55</v>
      </c>
      <c r="P417" t="s">
        <v>26</v>
      </c>
      <c r="Q417" t="str">
        <f t="shared" si="27"/>
        <v>Expiry before Received</v>
      </c>
      <c r="R417" s="3">
        <f t="shared" si="25"/>
        <v>77</v>
      </c>
      <c r="S417">
        <f t="shared" si="24"/>
        <v>0</v>
      </c>
      <c r="T417" t="str">
        <f t="shared" si="26"/>
        <v>Sufficient Stock</v>
      </c>
    </row>
    <row r="418" spans="1:20" x14ac:dyDescent="0.3">
      <c r="A418" t="s">
        <v>1645</v>
      </c>
      <c r="B418" t="s">
        <v>1531</v>
      </c>
      <c r="C418" t="s">
        <v>47</v>
      </c>
      <c r="D418" t="s">
        <v>1646</v>
      </c>
      <c r="E418" t="s">
        <v>757</v>
      </c>
      <c r="F418">
        <v>65</v>
      </c>
      <c r="G418">
        <v>10</v>
      </c>
      <c r="H418">
        <v>81</v>
      </c>
      <c r="I418" s="1">
        <v>2</v>
      </c>
      <c r="J418" s="2">
        <v>45531</v>
      </c>
      <c r="K418" s="2">
        <v>45700</v>
      </c>
      <c r="L418" s="2">
        <v>45420</v>
      </c>
      <c r="M418" t="s">
        <v>1647</v>
      </c>
      <c r="N418">
        <v>71</v>
      </c>
      <c r="O418">
        <v>61</v>
      </c>
      <c r="P418" t="s">
        <v>38</v>
      </c>
      <c r="Q418" t="str">
        <f t="shared" si="27"/>
        <v>Expiry before Received</v>
      </c>
      <c r="R418" s="3">
        <f t="shared" si="25"/>
        <v>130</v>
      </c>
      <c r="S418">
        <f t="shared" si="24"/>
        <v>0</v>
      </c>
      <c r="T418" t="str">
        <f t="shared" si="26"/>
        <v>Sufficient Stock</v>
      </c>
    </row>
    <row r="419" spans="1:20" x14ac:dyDescent="0.3">
      <c r="A419" t="s">
        <v>1648</v>
      </c>
      <c r="B419" t="s">
        <v>537</v>
      </c>
      <c r="C419" t="s">
        <v>47</v>
      </c>
      <c r="D419" t="s">
        <v>1649</v>
      </c>
      <c r="E419" t="s">
        <v>1127</v>
      </c>
      <c r="F419">
        <v>82</v>
      </c>
      <c r="G419">
        <v>29</v>
      </c>
      <c r="H419">
        <v>62</v>
      </c>
      <c r="I419" s="1">
        <v>15.31</v>
      </c>
      <c r="J419" s="2">
        <v>45512</v>
      </c>
      <c r="K419" s="2">
        <v>45369</v>
      </c>
      <c r="L419" s="2">
        <v>45635</v>
      </c>
      <c r="M419" t="s">
        <v>1650</v>
      </c>
      <c r="N419">
        <v>77</v>
      </c>
      <c r="O419">
        <v>27</v>
      </c>
      <c r="P419" t="s">
        <v>38</v>
      </c>
      <c r="Q419" t="str">
        <f t="shared" si="27"/>
        <v>Last Order before Received</v>
      </c>
      <c r="R419" s="3">
        <f t="shared" si="25"/>
        <v>1255.42</v>
      </c>
      <c r="S419">
        <f t="shared" si="24"/>
        <v>0</v>
      </c>
      <c r="T419" t="str">
        <f t="shared" si="26"/>
        <v>Sufficient Stock</v>
      </c>
    </row>
    <row r="420" spans="1:20" x14ac:dyDescent="0.3">
      <c r="A420" t="s">
        <v>1651</v>
      </c>
      <c r="B420" t="s">
        <v>113</v>
      </c>
      <c r="C420" t="s">
        <v>64</v>
      </c>
      <c r="D420" t="s">
        <v>1652</v>
      </c>
      <c r="E420" t="s">
        <v>1044</v>
      </c>
      <c r="F420">
        <v>20</v>
      </c>
      <c r="G420">
        <v>17</v>
      </c>
      <c r="H420">
        <v>71</v>
      </c>
      <c r="I420" s="1">
        <v>8</v>
      </c>
      <c r="J420" s="2">
        <v>45587</v>
      </c>
      <c r="K420" s="2">
        <v>45664</v>
      </c>
      <c r="L420" s="2">
        <v>45612</v>
      </c>
      <c r="M420" t="s">
        <v>1653</v>
      </c>
      <c r="N420">
        <v>50</v>
      </c>
      <c r="O420">
        <v>65</v>
      </c>
      <c r="P420" t="s">
        <v>44</v>
      </c>
      <c r="Q420" t="str">
        <f t="shared" si="27"/>
        <v>OK</v>
      </c>
      <c r="R420" s="3">
        <f t="shared" si="25"/>
        <v>160</v>
      </c>
      <c r="S420">
        <f t="shared" si="24"/>
        <v>0</v>
      </c>
      <c r="T420" t="str">
        <f t="shared" si="26"/>
        <v>Sufficient Stock</v>
      </c>
    </row>
    <row r="421" spans="1:20" x14ac:dyDescent="0.3">
      <c r="A421" t="s">
        <v>1654</v>
      </c>
      <c r="B421" t="s">
        <v>719</v>
      </c>
      <c r="C421" t="s">
        <v>64</v>
      </c>
      <c r="D421" t="s">
        <v>1655</v>
      </c>
      <c r="E421" t="s">
        <v>76</v>
      </c>
      <c r="F421">
        <v>31</v>
      </c>
      <c r="G421">
        <v>65</v>
      </c>
      <c r="H421">
        <v>94</v>
      </c>
      <c r="I421" s="1">
        <v>9</v>
      </c>
      <c r="J421" s="2">
        <v>45629</v>
      </c>
      <c r="K421" s="2">
        <v>45582</v>
      </c>
      <c r="L421" s="2">
        <v>45357</v>
      </c>
      <c r="M421" t="s">
        <v>1656</v>
      </c>
      <c r="N421">
        <v>63</v>
      </c>
      <c r="O421">
        <v>7</v>
      </c>
      <c r="P421" t="s">
        <v>38</v>
      </c>
      <c r="Q421" t="str">
        <f t="shared" si="27"/>
        <v>Expiry before Received</v>
      </c>
      <c r="R421" s="3">
        <f t="shared" si="25"/>
        <v>279</v>
      </c>
      <c r="S421">
        <f t="shared" si="24"/>
        <v>34</v>
      </c>
      <c r="T421" t="str">
        <f t="shared" si="26"/>
        <v>Reorder Required</v>
      </c>
    </row>
    <row r="422" spans="1:20" x14ac:dyDescent="0.3">
      <c r="A422" t="s">
        <v>1657</v>
      </c>
      <c r="B422" t="s">
        <v>238</v>
      </c>
      <c r="C422" t="s">
        <v>64</v>
      </c>
      <c r="D422" t="s">
        <v>1658</v>
      </c>
      <c r="E422" t="s">
        <v>1659</v>
      </c>
      <c r="F422">
        <v>36</v>
      </c>
      <c r="G422">
        <v>75</v>
      </c>
      <c r="H422">
        <v>35</v>
      </c>
      <c r="I422" s="1">
        <v>2.9</v>
      </c>
      <c r="J422" s="2">
        <v>45395</v>
      </c>
      <c r="K422" s="2">
        <v>45460</v>
      </c>
      <c r="L422" s="2">
        <v>45619</v>
      </c>
      <c r="M422" t="s">
        <v>1660</v>
      </c>
      <c r="N422">
        <v>26</v>
      </c>
      <c r="O422">
        <v>41</v>
      </c>
      <c r="P422" t="s">
        <v>26</v>
      </c>
      <c r="Q422" t="str">
        <f t="shared" si="27"/>
        <v>OK</v>
      </c>
      <c r="R422" s="3">
        <f t="shared" si="25"/>
        <v>104.39999999999999</v>
      </c>
      <c r="S422">
        <f t="shared" si="24"/>
        <v>39</v>
      </c>
      <c r="T422" t="str">
        <f t="shared" si="26"/>
        <v>Reorder Required</v>
      </c>
    </row>
    <row r="423" spans="1:20" x14ac:dyDescent="0.3">
      <c r="A423" t="s">
        <v>1661</v>
      </c>
      <c r="B423" t="s">
        <v>316</v>
      </c>
      <c r="C423" t="s">
        <v>29</v>
      </c>
      <c r="D423" t="s">
        <v>1662</v>
      </c>
      <c r="E423" t="s">
        <v>399</v>
      </c>
      <c r="F423">
        <v>59</v>
      </c>
      <c r="G423">
        <v>20</v>
      </c>
      <c r="H423">
        <v>17</v>
      </c>
      <c r="I423" s="1">
        <v>5</v>
      </c>
      <c r="J423" s="2">
        <v>45632</v>
      </c>
      <c r="K423" s="2">
        <v>45473</v>
      </c>
      <c r="L423" s="2">
        <v>45455</v>
      </c>
      <c r="M423" t="s">
        <v>1663</v>
      </c>
      <c r="N423">
        <v>45</v>
      </c>
      <c r="O423">
        <v>15</v>
      </c>
      <c r="P423" t="s">
        <v>26</v>
      </c>
      <c r="Q423" t="str">
        <f t="shared" si="27"/>
        <v>Expiry before Received</v>
      </c>
      <c r="R423" s="3">
        <f t="shared" si="25"/>
        <v>295</v>
      </c>
      <c r="S423">
        <f t="shared" si="24"/>
        <v>0</v>
      </c>
      <c r="T423" t="str">
        <f t="shared" si="26"/>
        <v>Sufficient Stock</v>
      </c>
    </row>
    <row r="424" spans="1:20" x14ac:dyDescent="0.3">
      <c r="A424" t="s">
        <v>1664</v>
      </c>
      <c r="B424" t="s">
        <v>40</v>
      </c>
      <c r="C424" t="s">
        <v>22</v>
      </c>
      <c r="D424" t="s">
        <v>1665</v>
      </c>
      <c r="E424" t="s">
        <v>267</v>
      </c>
      <c r="F424">
        <v>11</v>
      </c>
      <c r="G424">
        <v>10</v>
      </c>
      <c r="H424">
        <v>80</v>
      </c>
      <c r="I424" s="1">
        <v>1.5</v>
      </c>
      <c r="J424" s="2">
        <v>45448</v>
      </c>
      <c r="K424" s="2">
        <v>45562</v>
      </c>
      <c r="L424" s="2">
        <v>45506</v>
      </c>
      <c r="M424" t="s">
        <v>1666</v>
      </c>
      <c r="N424">
        <v>48</v>
      </c>
      <c r="O424">
        <v>65</v>
      </c>
      <c r="P424" t="s">
        <v>26</v>
      </c>
      <c r="Q424" t="str">
        <f t="shared" si="27"/>
        <v>OK</v>
      </c>
      <c r="R424" s="3">
        <f t="shared" si="25"/>
        <v>16.5</v>
      </c>
      <c r="S424">
        <f t="shared" si="24"/>
        <v>0</v>
      </c>
      <c r="T424" t="str">
        <f t="shared" si="26"/>
        <v>Sufficient Stock</v>
      </c>
    </row>
    <row r="425" spans="1:20" x14ac:dyDescent="0.3">
      <c r="A425" t="s">
        <v>1667</v>
      </c>
      <c r="B425" t="s">
        <v>234</v>
      </c>
      <c r="C425" t="s">
        <v>29</v>
      </c>
      <c r="D425" t="s">
        <v>1668</v>
      </c>
      <c r="E425" t="s">
        <v>1669</v>
      </c>
      <c r="F425">
        <v>24</v>
      </c>
      <c r="G425">
        <v>77</v>
      </c>
      <c r="H425">
        <v>32</v>
      </c>
      <c r="I425" s="1">
        <v>15.5</v>
      </c>
      <c r="J425" s="2">
        <v>45369</v>
      </c>
      <c r="K425" s="2">
        <v>45453</v>
      </c>
      <c r="L425" s="2">
        <v>45355</v>
      </c>
      <c r="M425" t="s">
        <v>1670</v>
      </c>
      <c r="N425">
        <v>80</v>
      </c>
      <c r="O425">
        <v>42</v>
      </c>
      <c r="P425" t="s">
        <v>26</v>
      </c>
      <c r="Q425" t="str">
        <f t="shared" si="27"/>
        <v>Expiry before Received</v>
      </c>
      <c r="R425" s="3">
        <f t="shared" si="25"/>
        <v>372</v>
      </c>
      <c r="S425">
        <f t="shared" si="24"/>
        <v>53</v>
      </c>
      <c r="T425" t="str">
        <f t="shared" si="26"/>
        <v>Reorder Required</v>
      </c>
    </row>
    <row r="426" spans="1:20" x14ac:dyDescent="0.3">
      <c r="A426" t="s">
        <v>1671</v>
      </c>
      <c r="B426" t="s">
        <v>196</v>
      </c>
      <c r="C426" t="s">
        <v>132</v>
      </c>
      <c r="D426" t="s">
        <v>1672</v>
      </c>
      <c r="E426" t="s">
        <v>1673</v>
      </c>
      <c r="F426">
        <v>75</v>
      </c>
      <c r="G426">
        <v>80</v>
      </c>
      <c r="H426">
        <v>87</v>
      </c>
      <c r="I426" s="1">
        <v>9</v>
      </c>
      <c r="J426" s="2">
        <v>45479</v>
      </c>
      <c r="K426" s="2">
        <v>45568</v>
      </c>
      <c r="L426" s="2">
        <v>45528</v>
      </c>
      <c r="M426" t="s">
        <v>1674</v>
      </c>
      <c r="N426">
        <v>49</v>
      </c>
      <c r="O426">
        <v>40</v>
      </c>
      <c r="P426" t="s">
        <v>38</v>
      </c>
      <c r="Q426" t="str">
        <f t="shared" si="27"/>
        <v>OK</v>
      </c>
      <c r="R426" s="3">
        <f t="shared" si="25"/>
        <v>675</v>
      </c>
      <c r="S426">
        <f t="shared" si="24"/>
        <v>5</v>
      </c>
      <c r="T426" t="str">
        <f t="shared" si="26"/>
        <v>Reorder Required</v>
      </c>
    </row>
    <row r="427" spans="1:20" x14ac:dyDescent="0.3">
      <c r="A427" t="s">
        <v>1675</v>
      </c>
      <c r="B427" t="s">
        <v>234</v>
      </c>
      <c r="C427" t="s">
        <v>29</v>
      </c>
      <c r="D427" t="s">
        <v>1676</v>
      </c>
      <c r="E427" t="s">
        <v>105</v>
      </c>
      <c r="F427">
        <v>11</v>
      </c>
      <c r="G427">
        <v>72</v>
      </c>
      <c r="H427">
        <v>5</v>
      </c>
      <c r="I427" s="1">
        <v>15</v>
      </c>
      <c r="J427" s="2">
        <v>45481</v>
      </c>
      <c r="K427" s="2">
        <v>45576</v>
      </c>
      <c r="L427" s="2">
        <v>45699</v>
      </c>
      <c r="M427" t="s">
        <v>1677</v>
      </c>
      <c r="N427">
        <v>89</v>
      </c>
      <c r="O427">
        <v>4</v>
      </c>
      <c r="P427" t="s">
        <v>44</v>
      </c>
      <c r="Q427" t="str">
        <f t="shared" si="27"/>
        <v>OK</v>
      </c>
      <c r="R427" s="3">
        <f t="shared" si="25"/>
        <v>165</v>
      </c>
      <c r="S427">
        <f t="shared" si="24"/>
        <v>61</v>
      </c>
      <c r="T427" t="str">
        <f t="shared" si="26"/>
        <v>Reorder Required</v>
      </c>
    </row>
    <row r="428" spans="1:20" x14ac:dyDescent="0.3">
      <c r="A428" t="s">
        <v>1678</v>
      </c>
      <c r="B428" t="s">
        <v>800</v>
      </c>
      <c r="C428" t="s">
        <v>132</v>
      </c>
      <c r="D428" t="s">
        <v>1679</v>
      </c>
      <c r="E428" t="s">
        <v>1439</v>
      </c>
      <c r="F428">
        <v>60</v>
      </c>
      <c r="G428">
        <v>64</v>
      </c>
      <c r="H428">
        <v>36</v>
      </c>
      <c r="I428" s="1">
        <v>10</v>
      </c>
      <c r="J428" s="2">
        <v>45537</v>
      </c>
      <c r="K428" s="2">
        <v>45347</v>
      </c>
      <c r="L428" s="2">
        <v>45703</v>
      </c>
      <c r="M428" t="s">
        <v>1680</v>
      </c>
      <c r="N428">
        <v>34</v>
      </c>
      <c r="O428">
        <v>48</v>
      </c>
      <c r="P428" t="s">
        <v>26</v>
      </c>
      <c r="Q428" t="str">
        <f t="shared" si="27"/>
        <v>Last Order before Received</v>
      </c>
      <c r="R428" s="3">
        <f t="shared" si="25"/>
        <v>600</v>
      </c>
      <c r="S428">
        <f t="shared" si="24"/>
        <v>4</v>
      </c>
      <c r="T428" t="str">
        <f t="shared" si="26"/>
        <v>Reorder Required</v>
      </c>
    </row>
    <row r="429" spans="1:20" x14ac:dyDescent="0.3">
      <c r="A429" t="s">
        <v>1681</v>
      </c>
      <c r="B429" t="s">
        <v>229</v>
      </c>
      <c r="C429" t="s">
        <v>47</v>
      </c>
      <c r="D429" t="s">
        <v>1682</v>
      </c>
      <c r="E429" t="s">
        <v>1202</v>
      </c>
      <c r="F429">
        <v>91</v>
      </c>
      <c r="G429">
        <v>6</v>
      </c>
      <c r="H429">
        <v>37</v>
      </c>
      <c r="I429" s="1">
        <v>2.4</v>
      </c>
      <c r="J429" s="2">
        <v>45413</v>
      </c>
      <c r="K429" s="2">
        <v>45511</v>
      </c>
      <c r="L429" s="2">
        <v>45510</v>
      </c>
      <c r="M429" t="s">
        <v>1683</v>
      </c>
      <c r="N429">
        <v>38</v>
      </c>
      <c r="O429">
        <v>70</v>
      </c>
      <c r="P429" t="s">
        <v>38</v>
      </c>
      <c r="Q429" t="str">
        <f t="shared" si="27"/>
        <v>OK</v>
      </c>
      <c r="R429" s="3">
        <f t="shared" si="25"/>
        <v>218.4</v>
      </c>
      <c r="S429">
        <f t="shared" si="24"/>
        <v>0</v>
      </c>
      <c r="T429" t="str">
        <f t="shared" si="26"/>
        <v>Sufficient Stock</v>
      </c>
    </row>
    <row r="430" spans="1:20" x14ac:dyDescent="0.3">
      <c r="A430" t="s">
        <v>1684</v>
      </c>
      <c r="B430" t="s">
        <v>63</v>
      </c>
      <c r="C430" t="s">
        <v>64</v>
      </c>
      <c r="D430" t="s">
        <v>1685</v>
      </c>
      <c r="E430" t="s">
        <v>1686</v>
      </c>
      <c r="F430">
        <v>43</v>
      </c>
      <c r="G430">
        <v>78</v>
      </c>
      <c r="H430">
        <v>85</v>
      </c>
      <c r="I430" s="1">
        <v>2.5</v>
      </c>
      <c r="J430" s="2">
        <v>45360</v>
      </c>
      <c r="K430" s="2">
        <v>45534</v>
      </c>
      <c r="L430" s="2">
        <v>45465</v>
      </c>
      <c r="M430" t="s">
        <v>1687</v>
      </c>
      <c r="N430">
        <v>48</v>
      </c>
      <c r="O430">
        <v>98</v>
      </c>
      <c r="P430" t="s">
        <v>38</v>
      </c>
      <c r="Q430" t="str">
        <f t="shared" si="27"/>
        <v>OK</v>
      </c>
      <c r="R430" s="3">
        <f t="shared" si="25"/>
        <v>107.5</v>
      </c>
      <c r="S430">
        <f t="shared" si="24"/>
        <v>35</v>
      </c>
      <c r="T430" t="str">
        <f t="shared" si="26"/>
        <v>Reorder Required</v>
      </c>
    </row>
    <row r="431" spans="1:20" x14ac:dyDescent="0.3">
      <c r="A431" t="s">
        <v>1688</v>
      </c>
      <c r="B431" t="s">
        <v>108</v>
      </c>
      <c r="C431" t="s">
        <v>22</v>
      </c>
      <c r="D431" t="s">
        <v>1689</v>
      </c>
      <c r="E431" t="s">
        <v>721</v>
      </c>
      <c r="F431">
        <v>25</v>
      </c>
      <c r="G431">
        <v>60</v>
      </c>
      <c r="H431">
        <v>36</v>
      </c>
      <c r="I431" s="1">
        <v>1.5</v>
      </c>
      <c r="J431" s="2">
        <v>45704</v>
      </c>
      <c r="K431" s="2">
        <v>45530</v>
      </c>
      <c r="L431" s="2">
        <v>45595</v>
      </c>
      <c r="M431" t="s">
        <v>1690</v>
      </c>
      <c r="N431">
        <v>31</v>
      </c>
      <c r="O431">
        <v>41</v>
      </c>
      <c r="P431" t="s">
        <v>38</v>
      </c>
      <c r="Q431" t="str">
        <f t="shared" si="27"/>
        <v>Expiry before Received</v>
      </c>
      <c r="R431" s="3">
        <f t="shared" si="25"/>
        <v>37.5</v>
      </c>
      <c r="S431">
        <f t="shared" si="24"/>
        <v>35</v>
      </c>
      <c r="T431" t="str">
        <f t="shared" si="26"/>
        <v>Reorder Required</v>
      </c>
    </row>
    <row r="432" spans="1:20" x14ac:dyDescent="0.3">
      <c r="A432" t="s">
        <v>1691</v>
      </c>
      <c r="B432" t="s">
        <v>147</v>
      </c>
      <c r="C432" t="s">
        <v>64</v>
      </c>
      <c r="D432" t="s">
        <v>1692</v>
      </c>
      <c r="E432" t="s">
        <v>1315</v>
      </c>
      <c r="F432">
        <v>96</v>
      </c>
      <c r="G432">
        <v>9</v>
      </c>
      <c r="H432">
        <v>57</v>
      </c>
      <c r="I432" s="1">
        <v>11.8</v>
      </c>
      <c r="J432" s="2">
        <v>45683</v>
      </c>
      <c r="K432" s="2">
        <v>45459</v>
      </c>
      <c r="L432" s="2">
        <v>45510</v>
      </c>
      <c r="M432" t="s">
        <v>1693</v>
      </c>
      <c r="N432">
        <v>78</v>
      </c>
      <c r="O432">
        <v>67</v>
      </c>
      <c r="P432" t="s">
        <v>44</v>
      </c>
      <c r="Q432" t="str">
        <f t="shared" si="27"/>
        <v>Expiry before Received</v>
      </c>
      <c r="R432" s="3">
        <f t="shared" si="25"/>
        <v>1132.8000000000002</v>
      </c>
      <c r="S432">
        <f t="shared" si="24"/>
        <v>0</v>
      </c>
      <c r="T432" t="str">
        <f t="shared" si="26"/>
        <v>Sufficient Stock</v>
      </c>
    </row>
    <row r="433" spans="1:20" x14ac:dyDescent="0.3">
      <c r="A433" t="s">
        <v>1694</v>
      </c>
      <c r="B433" t="s">
        <v>1042</v>
      </c>
      <c r="C433" t="s">
        <v>132</v>
      </c>
      <c r="D433" t="s">
        <v>1695</v>
      </c>
      <c r="E433" t="s">
        <v>1696</v>
      </c>
      <c r="F433">
        <v>30</v>
      </c>
      <c r="G433">
        <v>29</v>
      </c>
      <c r="H433">
        <v>70</v>
      </c>
      <c r="I433" s="1">
        <v>7.5</v>
      </c>
      <c r="J433" s="2">
        <v>45465</v>
      </c>
      <c r="K433" s="2">
        <v>45578</v>
      </c>
      <c r="L433" s="2">
        <v>45555</v>
      </c>
      <c r="M433" t="s">
        <v>1697</v>
      </c>
      <c r="N433">
        <v>80</v>
      </c>
      <c r="O433">
        <v>43</v>
      </c>
      <c r="P433" t="s">
        <v>38</v>
      </c>
      <c r="Q433" t="str">
        <f t="shared" si="27"/>
        <v>OK</v>
      </c>
      <c r="R433" s="3">
        <f t="shared" si="25"/>
        <v>225</v>
      </c>
      <c r="S433">
        <f t="shared" si="24"/>
        <v>0</v>
      </c>
      <c r="T433" t="str">
        <f t="shared" si="26"/>
        <v>Sufficient Stock</v>
      </c>
    </row>
    <row r="434" spans="1:20" x14ac:dyDescent="0.3">
      <c r="A434" t="s">
        <v>1698</v>
      </c>
      <c r="B434" t="s">
        <v>385</v>
      </c>
      <c r="C434" t="s">
        <v>22</v>
      </c>
      <c r="D434" t="s">
        <v>1699</v>
      </c>
      <c r="E434" t="s">
        <v>1700</v>
      </c>
      <c r="F434">
        <v>56</v>
      </c>
      <c r="G434">
        <v>4</v>
      </c>
      <c r="H434">
        <v>74</v>
      </c>
      <c r="I434" s="1">
        <v>4.5</v>
      </c>
      <c r="J434" s="2">
        <v>45366</v>
      </c>
      <c r="K434" s="2">
        <v>45477</v>
      </c>
      <c r="L434" s="2">
        <v>45557</v>
      </c>
      <c r="M434" t="s">
        <v>1701</v>
      </c>
      <c r="N434">
        <v>61</v>
      </c>
      <c r="O434">
        <v>73</v>
      </c>
      <c r="P434" t="s">
        <v>44</v>
      </c>
      <c r="Q434" t="str">
        <f t="shared" si="27"/>
        <v>OK</v>
      </c>
      <c r="R434" s="3">
        <f t="shared" si="25"/>
        <v>252</v>
      </c>
      <c r="S434">
        <f t="shared" si="24"/>
        <v>0</v>
      </c>
      <c r="T434" t="str">
        <f t="shared" si="26"/>
        <v>Sufficient Stock</v>
      </c>
    </row>
    <row r="435" spans="1:20" x14ac:dyDescent="0.3">
      <c r="A435" t="s">
        <v>1702</v>
      </c>
      <c r="B435" t="s">
        <v>1551</v>
      </c>
      <c r="C435" t="s">
        <v>89</v>
      </c>
      <c r="D435" t="s">
        <v>1703</v>
      </c>
      <c r="E435" t="s">
        <v>556</v>
      </c>
      <c r="F435">
        <v>91</v>
      </c>
      <c r="G435">
        <v>71</v>
      </c>
      <c r="H435">
        <v>17</v>
      </c>
      <c r="I435" s="1">
        <v>3.5</v>
      </c>
      <c r="J435" s="2">
        <v>45667</v>
      </c>
      <c r="K435" s="2">
        <v>45505</v>
      </c>
      <c r="L435" s="2">
        <v>45446</v>
      </c>
      <c r="M435" t="s">
        <v>1704</v>
      </c>
      <c r="N435">
        <v>74</v>
      </c>
      <c r="O435">
        <v>57</v>
      </c>
      <c r="P435" t="s">
        <v>44</v>
      </c>
      <c r="Q435" t="str">
        <f t="shared" si="27"/>
        <v>Expiry before Received</v>
      </c>
      <c r="R435" s="3">
        <f t="shared" si="25"/>
        <v>318.5</v>
      </c>
      <c r="S435">
        <f t="shared" si="24"/>
        <v>0</v>
      </c>
      <c r="T435" t="str">
        <f t="shared" si="26"/>
        <v>Sufficient Stock</v>
      </c>
    </row>
    <row r="436" spans="1:20" x14ac:dyDescent="0.3">
      <c r="A436" t="s">
        <v>1705</v>
      </c>
      <c r="B436" t="s">
        <v>83</v>
      </c>
      <c r="C436" t="s">
        <v>22</v>
      </c>
      <c r="D436" t="s">
        <v>1706</v>
      </c>
      <c r="E436" t="s">
        <v>893</v>
      </c>
      <c r="F436">
        <v>27</v>
      </c>
      <c r="G436">
        <v>64</v>
      </c>
      <c r="H436">
        <v>78</v>
      </c>
      <c r="I436" s="1">
        <v>2</v>
      </c>
      <c r="J436" s="2">
        <v>45521</v>
      </c>
      <c r="K436" s="2">
        <v>45416</v>
      </c>
      <c r="L436" s="2">
        <v>45435</v>
      </c>
      <c r="M436" t="s">
        <v>1707</v>
      </c>
      <c r="N436">
        <v>57</v>
      </c>
      <c r="O436">
        <v>4</v>
      </c>
      <c r="P436" t="s">
        <v>44</v>
      </c>
      <c r="Q436" t="str">
        <f t="shared" si="27"/>
        <v>Expiry before Received</v>
      </c>
      <c r="R436" s="3">
        <f t="shared" si="25"/>
        <v>54</v>
      </c>
      <c r="S436">
        <f t="shared" si="24"/>
        <v>37</v>
      </c>
      <c r="T436" t="str">
        <f t="shared" si="26"/>
        <v>Reorder Required</v>
      </c>
    </row>
    <row r="437" spans="1:20" x14ac:dyDescent="0.3">
      <c r="A437" t="s">
        <v>1708</v>
      </c>
      <c r="B437" t="s">
        <v>629</v>
      </c>
      <c r="C437" t="s">
        <v>64</v>
      </c>
      <c r="D437" t="s">
        <v>1709</v>
      </c>
      <c r="E437" t="s">
        <v>481</v>
      </c>
      <c r="F437">
        <v>28</v>
      </c>
      <c r="G437">
        <v>90</v>
      </c>
      <c r="H437">
        <v>70</v>
      </c>
      <c r="I437" s="1">
        <v>2.4500000000000002</v>
      </c>
      <c r="J437" s="2">
        <v>45601</v>
      </c>
      <c r="K437" s="2">
        <v>45702</v>
      </c>
      <c r="L437" s="2">
        <v>45685</v>
      </c>
      <c r="M437" t="s">
        <v>1710</v>
      </c>
      <c r="N437">
        <v>76</v>
      </c>
      <c r="O437">
        <v>78</v>
      </c>
      <c r="P437" t="s">
        <v>44</v>
      </c>
      <c r="Q437" t="str">
        <f t="shared" si="27"/>
        <v>OK</v>
      </c>
      <c r="R437" s="3">
        <f t="shared" si="25"/>
        <v>68.600000000000009</v>
      </c>
      <c r="S437">
        <f t="shared" si="24"/>
        <v>62</v>
      </c>
      <c r="T437" t="str">
        <f t="shared" si="26"/>
        <v>Reorder Required</v>
      </c>
    </row>
    <row r="438" spans="1:20" x14ac:dyDescent="0.3">
      <c r="A438" t="s">
        <v>1711</v>
      </c>
      <c r="B438" t="s">
        <v>645</v>
      </c>
      <c r="C438" t="s">
        <v>64</v>
      </c>
      <c r="D438" t="s">
        <v>1712</v>
      </c>
      <c r="E438" t="s">
        <v>144</v>
      </c>
      <c r="F438">
        <v>92</v>
      </c>
      <c r="G438">
        <v>67</v>
      </c>
      <c r="H438">
        <v>51</v>
      </c>
      <c r="I438" s="1">
        <v>4</v>
      </c>
      <c r="J438" s="2">
        <v>45387</v>
      </c>
      <c r="K438" s="2">
        <v>45635</v>
      </c>
      <c r="L438" s="2">
        <v>45431</v>
      </c>
      <c r="M438" t="s">
        <v>1713</v>
      </c>
      <c r="N438">
        <v>23</v>
      </c>
      <c r="O438">
        <v>78</v>
      </c>
      <c r="P438" t="s">
        <v>26</v>
      </c>
      <c r="Q438" t="str">
        <f t="shared" si="27"/>
        <v>OK</v>
      </c>
      <c r="R438" s="3">
        <f t="shared" si="25"/>
        <v>368</v>
      </c>
      <c r="S438">
        <f t="shared" si="24"/>
        <v>0</v>
      </c>
      <c r="T438" t="str">
        <f t="shared" si="26"/>
        <v>Sufficient Stock</v>
      </c>
    </row>
    <row r="439" spans="1:20" x14ac:dyDescent="0.3">
      <c r="A439" t="s">
        <v>1714</v>
      </c>
      <c r="B439" t="s">
        <v>624</v>
      </c>
      <c r="C439" t="s">
        <v>132</v>
      </c>
      <c r="D439" t="s">
        <v>1715</v>
      </c>
      <c r="E439" t="s">
        <v>995</v>
      </c>
      <c r="F439">
        <v>37</v>
      </c>
      <c r="G439">
        <v>33</v>
      </c>
      <c r="H439">
        <v>80</v>
      </c>
      <c r="I439" s="1">
        <v>18</v>
      </c>
      <c r="J439" s="2">
        <v>45647</v>
      </c>
      <c r="K439" s="2">
        <v>45422</v>
      </c>
      <c r="L439" s="2">
        <v>45416</v>
      </c>
      <c r="M439" t="s">
        <v>1716</v>
      </c>
      <c r="N439">
        <v>27</v>
      </c>
      <c r="O439">
        <v>73</v>
      </c>
      <c r="P439" t="s">
        <v>38</v>
      </c>
      <c r="Q439" t="str">
        <f t="shared" si="27"/>
        <v>Expiry before Received</v>
      </c>
      <c r="R439" s="3">
        <f t="shared" si="25"/>
        <v>666</v>
      </c>
      <c r="S439">
        <f t="shared" si="24"/>
        <v>0</v>
      </c>
      <c r="T439" t="str">
        <f t="shared" si="26"/>
        <v>Sufficient Stock</v>
      </c>
    </row>
    <row r="440" spans="1:20" x14ac:dyDescent="0.3">
      <c r="A440" t="s">
        <v>1717</v>
      </c>
      <c r="B440" t="s">
        <v>687</v>
      </c>
      <c r="C440" t="s">
        <v>22</v>
      </c>
      <c r="D440" t="s">
        <v>1718</v>
      </c>
      <c r="E440" t="s">
        <v>1719</v>
      </c>
      <c r="F440">
        <v>28</v>
      </c>
      <c r="G440">
        <v>24</v>
      </c>
      <c r="H440">
        <v>97</v>
      </c>
      <c r="I440" s="1">
        <v>2.5</v>
      </c>
      <c r="J440" s="2">
        <v>45557</v>
      </c>
      <c r="K440" s="2">
        <v>45424</v>
      </c>
      <c r="L440" s="2">
        <v>45482</v>
      </c>
      <c r="M440" t="s">
        <v>1720</v>
      </c>
      <c r="N440">
        <v>82</v>
      </c>
      <c r="O440">
        <v>5</v>
      </c>
      <c r="P440" t="s">
        <v>26</v>
      </c>
      <c r="Q440" t="str">
        <f t="shared" si="27"/>
        <v>Expiry before Received</v>
      </c>
      <c r="R440" s="3">
        <f t="shared" si="25"/>
        <v>70</v>
      </c>
      <c r="S440">
        <f t="shared" si="24"/>
        <v>0</v>
      </c>
      <c r="T440" t="str">
        <f t="shared" si="26"/>
        <v>Sufficient Stock</v>
      </c>
    </row>
    <row r="441" spans="1:20" x14ac:dyDescent="0.3">
      <c r="A441" t="s">
        <v>1721</v>
      </c>
      <c r="B441" t="s">
        <v>508</v>
      </c>
      <c r="C441" t="s">
        <v>132</v>
      </c>
      <c r="D441" t="s">
        <v>1722</v>
      </c>
      <c r="E441" t="s">
        <v>36</v>
      </c>
      <c r="F441">
        <v>30</v>
      </c>
      <c r="G441">
        <v>42</v>
      </c>
      <c r="H441">
        <v>8</v>
      </c>
      <c r="I441" s="1">
        <v>7</v>
      </c>
      <c r="J441" s="2">
        <v>45414</v>
      </c>
      <c r="K441" s="2">
        <v>45663</v>
      </c>
      <c r="L441" s="2">
        <v>45484</v>
      </c>
      <c r="M441" t="s">
        <v>1723</v>
      </c>
      <c r="N441">
        <v>48</v>
      </c>
      <c r="O441">
        <v>23</v>
      </c>
      <c r="P441" t="s">
        <v>44</v>
      </c>
      <c r="Q441" t="str">
        <f t="shared" si="27"/>
        <v>OK</v>
      </c>
      <c r="R441" s="3">
        <f t="shared" si="25"/>
        <v>210</v>
      </c>
      <c r="S441">
        <f t="shared" si="24"/>
        <v>12</v>
      </c>
      <c r="T441" t="str">
        <f t="shared" si="26"/>
        <v>Reorder Required</v>
      </c>
    </row>
    <row r="442" spans="1:20" x14ac:dyDescent="0.3">
      <c r="A442" t="s">
        <v>1724</v>
      </c>
      <c r="B442" t="s">
        <v>28</v>
      </c>
      <c r="C442" t="s">
        <v>29</v>
      </c>
      <c r="D442" t="s">
        <v>1725</v>
      </c>
      <c r="E442" t="s">
        <v>848</v>
      </c>
      <c r="F442">
        <v>98</v>
      </c>
      <c r="G442">
        <v>83</v>
      </c>
      <c r="H442">
        <v>5</v>
      </c>
      <c r="I442" s="1">
        <v>20</v>
      </c>
      <c r="J442" s="2">
        <v>45479</v>
      </c>
      <c r="K442" s="2">
        <v>45688</v>
      </c>
      <c r="L442" s="2">
        <v>45652</v>
      </c>
      <c r="M442" t="s">
        <v>1726</v>
      </c>
      <c r="N442">
        <v>39</v>
      </c>
      <c r="O442">
        <v>79</v>
      </c>
      <c r="P442" t="s">
        <v>44</v>
      </c>
      <c r="Q442" t="str">
        <f t="shared" si="27"/>
        <v>OK</v>
      </c>
      <c r="R442" s="3">
        <f t="shared" si="25"/>
        <v>1960</v>
      </c>
      <c r="S442">
        <f t="shared" si="24"/>
        <v>0</v>
      </c>
      <c r="T442" t="str">
        <f t="shared" si="26"/>
        <v>Sufficient Stock</v>
      </c>
    </row>
    <row r="443" spans="1:20" x14ac:dyDescent="0.3">
      <c r="A443" t="s">
        <v>1727</v>
      </c>
      <c r="B443" t="s">
        <v>229</v>
      </c>
      <c r="C443" t="s">
        <v>47</v>
      </c>
      <c r="D443" t="s">
        <v>1728</v>
      </c>
      <c r="E443" t="s">
        <v>477</v>
      </c>
      <c r="F443">
        <v>65</v>
      </c>
      <c r="G443">
        <v>88</v>
      </c>
      <c r="H443">
        <v>20</v>
      </c>
      <c r="I443" s="1">
        <v>2.5</v>
      </c>
      <c r="J443" s="2">
        <v>45685</v>
      </c>
      <c r="K443" s="2">
        <v>45616</v>
      </c>
      <c r="L443" s="2">
        <v>45502</v>
      </c>
      <c r="M443" t="s">
        <v>1729</v>
      </c>
      <c r="N443">
        <v>89</v>
      </c>
      <c r="O443">
        <v>37</v>
      </c>
      <c r="P443" t="s">
        <v>38</v>
      </c>
      <c r="Q443" t="str">
        <f t="shared" si="27"/>
        <v>Expiry before Received</v>
      </c>
      <c r="R443" s="3">
        <f t="shared" si="25"/>
        <v>162.5</v>
      </c>
      <c r="S443">
        <f t="shared" si="24"/>
        <v>23</v>
      </c>
      <c r="T443" t="str">
        <f t="shared" si="26"/>
        <v>Reorder Required</v>
      </c>
    </row>
    <row r="444" spans="1:20" x14ac:dyDescent="0.3">
      <c r="A444" t="s">
        <v>1730</v>
      </c>
      <c r="B444" t="s">
        <v>472</v>
      </c>
      <c r="C444" t="s">
        <v>22</v>
      </c>
      <c r="D444" t="s">
        <v>1731</v>
      </c>
      <c r="E444" t="s">
        <v>1108</v>
      </c>
      <c r="F444">
        <v>42</v>
      </c>
      <c r="G444">
        <v>3</v>
      </c>
      <c r="H444">
        <v>21</v>
      </c>
      <c r="I444" s="1">
        <v>2</v>
      </c>
      <c r="J444" s="2">
        <v>45554</v>
      </c>
      <c r="K444" s="2">
        <v>45684</v>
      </c>
      <c r="L444" s="2">
        <v>45560</v>
      </c>
      <c r="M444" t="s">
        <v>1732</v>
      </c>
      <c r="N444">
        <v>35</v>
      </c>
      <c r="O444">
        <v>22</v>
      </c>
      <c r="P444" t="s">
        <v>44</v>
      </c>
      <c r="Q444" t="str">
        <f t="shared" si="27"/>
        <v>OK</v>
      </c>
      <c r="R444" s="3">
        <f t="shared" si="25"/>
        <v>84</v>
      </c>
      <c r="S444">
        <f t="shared" si="24"/>
        <v>0</v>
      </c>
      <c r="T444" t="str">
        <f t="shared" si="26"/>
        <v>Sufficient Stock</v>
      </c>
    </row>
    <row r="445" spans="1:20" x14ac:dyDescent="0.3">
      <c r="A445" t="s">
        <v>1733</v>
      </c>
      <c r="B445" t="s">
        <v>229</v>
      </c>
      <c r="C445" t="s">
        <v>47</v>
      </c>
      <c r="D445" t="s">
        <v>1734</v>
      </c>
      <c r="E445" t="s">
        <v>1735</v>
      </c>
      <c r="F445">
        <v>63</v>
      </c>
      <c r="G445">
        <v>60</v>
      </c>
      <c r="H445">
        <v>54</v>
      </c>
      <c r="I445" s="1">
        <v>2.5</v>
      </c>
      <c r="J445" s="2">
        <v>45652</v>
      </c>
      <c r="K445" s="2">
        <v>45433</v>
      </c>
      <c r="L445" s="2">
        <v>45397</v>
      </c>
      <c r="M445" t="s">
        <v>1736</v>
      </c>
      <c r="N445">
        <v>33</v>
      </c>
      <c r="O445">
        <v>31</v>
      </c>
      <c r="P445" t="s">
        <v>38</v>
      </c>
      <c r="Q445" t="str">
        <f t="shared" si="27"/>
        <v>Expiry before Received</v>
      </c>
      <c r="R445" s="3">
        <f t="shared" si="25"/>
        <v>157.5</v>
      </c>
      <c r="S445">
        <f t="shared" si="24"/>
        <v>0</v>
      </c>
      <c r="T445" t="str">
        <f t="shared" si="26"/>
        <v>Sufficient Stock</v>
      </c>
    </row>
    <row r="446" spans="1:20" x14ac:dyDescent="0.3">
      <c r="A446" t="s">
        <v>1737</v>
      </c>
      <c r="B446" t="s">
        <v>349</v>
      </c>
      <c r="C446" t="s">
        <v>47</v>
      </c>
      <c r="D446" t="s">
        <v>1738</v>
      </c>
      <c r="E446" t="s">
        <v>1311</v>
      </c>
      <c r="F446">
        <v>85</v>
      </c>
      <c r="G446">
        <v>54</v>
      </c>
      <c r="H446">
        <v>18</v>
      </c>
      <c r="I446" s="1">
        <v>4</v>
      </c>
      <c r="J446" s="2">
        <v>45501</v>
      </c>
      <c r="K446" s="2">
        <v>45588</v>
      </c>
      <c r="L446" s="2">
        <v>45486</v>
      </c>
      <c r="M446" t="s">
        <v>1739</v>
      </c>
      <c r="N446">
        <v>85</v>
      </c>
      <c r="O446">
        <v>44</v>
      </c>
      <c r="P446" t="s">
        <v>26</v>
      </c>
      <c r="Q446" t="str">
        <f t="shared" si="27"/>
        <v>Expiry before Received</v>
      </c>
      <c r="R446" s="3">
        <f t="shared" si="25"/>
        <v>340</v>
      </c>
      <c r="S446">
        <f t="shared" si="24"/>
        <v>0</v>
      </c>
      <c r="T446" t="str">
        <f t="shared" si="26"/>
        <v>Sufficient Stock</v>
      </c>
    </row>
    <row r="447" spans="1:20" x14ac:dyDescent="0.3">
      <c r="A447" t="s">
        <v>1740</v>
      </c>
      <c r="B447" t="s">
        <v>74</v>
      </c>
      <c r="C447" t="s">
        <v>64</v>
      </c>
      <c r="D447" t="s">
        <v>1741</v>
      </c>
      <c r="E447" t="s">
        <v>684</v>
      </c>
      <c r="F447">
        <v>44</v>
      </c>
      <c r="G447">
        <v>75</v>
      </c>
      <c r="H447">
        <v>72</v>
      </c>
      <c r="I447" s="1">
        <v>1</v>
      </c>
      <c r="J447" s="2">
        <v>45640</v>
      </c>
      <c r="K447" s="2">
        <v>45625</v>
      </c>
      <c r="L447" s="2">
        <v>45506</v>
      </c>
      <c r="M447" t="s">
        <v>1742</v>
      </c>
      <c r="N447">
        <v>96</v>
      </c>
      <c r="O447">
        <v>38</v>
      </c>
      <c r="P447" t="s">
        <v>26</v>
      </c>
      <c r="Q447" t="str">
        <f t="shared" si="27"/>
        <v>Expiry before Received</v>
      </c>
      <c r="R447" s="3">
        <f t="shared" si="25"/>
        <v>44</v>
      </c>
      <c r="S447">
        <f t="shared" si="24"/>
        <v>31</v>
      </c>
      <c r="T447" t="str">
        <f t="shared" si="26"/>
        <v>Reorder Required</v>
      </c>
    </row>
    <row r="448" spans="1:20" x14ac:dyDescent="0.3">
      <c r="A448" t="s">
        <v>1743</v>
      </c>
      <c r="B448" t="s">
        <v>46</v>
      </c>
      <c r="C448" t="s">
        <v>47</v>
      </c>
      <c r="D448" t="s">
        <v>1744</v>
      </c>
      <c r="E448" t="s">
        <v>149</v>
      </c>
      <c r="F448">
        <v>26</v>
      </c>
      <c r="G448">
        <v>69</v>
      </c>
      <c r="H448">
        <v>90</v>
      </c>
      <c r="I448" s="1">
        <v>4</v>
      </c>
      <c r="J448" s="2">
        <v>45638</v>
      </c>
      <c r="K448" s="2">
        <v>45451</v>
      </c>
      <c r="L448" s="2">
        <v>45492</v>
      </c>
      <c r="M448" t="s">
        <v>1745</v>
      </c>
      <c r="N448">
        <v>47</v>
      </c>
      <c r="O448">
        <v>35</v>
      </c>
      <c r="P448" t="s">
        <v>44</v>
      </c>
      <c r="Q448" t="str">
        <f t="shared" si="27"/>
        <v>Expiry before Received</v>
      </c>
      <c r="R448" s="3">
        <f t="shared" si="25"/>
        <v>104</v>
      </c>
      <c r="S448">
        <f t="shared" si="24"/>
        <v>43</v>
      </c>
      <c r="T448" t="str">
        <f t="shared" si="26"/>
        <v>Reorder Required</v>
      </c>
    </row>
    <row r="449" spans="1:20" x14ac:dyDescent="0.3">
      <c r="A449" t="s">
        <v>1746</v>
      </c>
      <c r="B449" t="s">
        <v>1264</v>
      </c>
      <c r="C449" t="s">
        <v>22</v>
      </c>
      <c r="D449" t="s">
        <v>1747</v>
      </c>
      <c r="E449" t="s">
        <v>730</v>
      </c>
      <c r="F449">
        <v>49</v>
      </c>
      <c r="G449">
        <v>59</v>
      </c>
      <c r="H449">
        <v>73</v>
      </c>
      <c r="I449" s="1">
        <v>5</v>
      </c>
      <c r="J449" s="2">
        <v>45400</v>
      </c>
      <c r="K449" s="2">
        <v>45388</v>
      </c>
      <c r="L449" s="2">
        <v>45438</v>
      </c>
      <c r="M449" t="s">
        <v>1748</v>
      </c>
      <c r="N449">
        <v>93</v>
      </c>
      <c r="O449">
        <v>45</v>
      </c>
      <c r="P449" t="s">
        <v>26</v>
      </c>
      <c r="Q449" t="str">
        <f t="shared" si="27"/>
        <v>Last Order before Received</v>
      </c>
      <c r="R449" s="3">
        <f t="shared" si="25"/>
        <v>245</v>
      </c>
      <c r="S449">
        <f t="shared" si="24"/>
        <v>10</v>
      </c>
      <c r="T449" t="str">
        <f t="shared" si="26"/>
        <v>Reorder Required</v>
      </c>
    </row>
    <row r="450" spans="1:20" x14ac:dyDescent="0.3">
      <c r="A450" t="s">
        <v>1749</v>
      </c>
      <c r="B450" t="s">
        <v>545</v>
      </c>
      <c r="C450" t="s">
        <v>47</v>
      </c>
      <c r="D450" t="s">
        <v>1750</v>
      </c>
      <c r="E450" t="s">
        <v>689</v>
      </c>
      <c r="F450">
        <v>59</v>
      </c>
      <c r="G450">
        <v>79</v>
      </c>
      <c r="H450">
        <v>87</v>
      </c>
      <c r="I450" s="1">
        <v>6</v>
      </c>
      <c r="J450" s="2">
        <v>45538</v>
      </c>
      <c r="K450" s="2">
        <v>45568</v>
      </c>
      <c r="L450" s="2">
        <v>45504</v>
      </c>
      <c r="M450" t="s">
        <v>1751</v>
      </c>
      <c r="N450">
        <v>47</v>
      </c>
      <c r="O450">
        <v>18</v>
      </c>
      <c r="P450" t="s">
        <v>44</v>
      </c>
      <c r="Q450" t="str">
        <f t="shared" si="27"/>
        <v>Expiry before Received</v>
      </c>
      <c r="R450" s="3">
        <f t="shared" si="25"/>
        <v>354</v>
      </c>
      <c r="S450">
        <f t="shared" ref="S450:S513" si="28">MAX(0,G450-F450)</f>
        <v>20</v>
      </c>
      <c r="T450" t="str">
        <f t="shared" si="26"/>
        <v>Reorder Required</v>
      </c>
    </row>
    <row r="451" spans="1:20" x14ac:dyDescent="0.3">
      <c r="A451" t="s">
        <v>1752</v>
      </c>
      <c r="B451" t="s">
        <v>152</v>
      </c>
      <c r="C451" t="s">
        <v>22</v>
      </c>
      <c r="D451" t="s">
        <v>1753</v>
      </c>
      <c r="E451" t="s">
        <v>1198</v>
      </c>
      <c r="F451">
        <v>19</v>
      </c>
      <c r="G451">
        <v>81</v>
      </c>
      <c r="H451">
        <v>33</v>
      </c>
      <c r="I451" s="1">
        <v>1.5</v>
      </c>
      <c r="J451" s="2">
        <v>45472</v>
      </c>
      <c r="K451" s="2">
        <v>45710</v>
      </c>
      <c r="L451" s="2">
        <v>45650</v>
      </c>
      <c r="M451" t="s">
        <v>1754</v>
      </c>
      <c r="N451">
        <v>39</v>
      </c>
      <c r="O451">
        <v>85</v>
      </c>
      <c r="P451" t="s">
        <v>38</v>
      </c>
      <c r="Q451" t="str">
        <f t="shared" si="27"/>
        <v>OK</v>
      </c>
      <c r="R451" s="3">
        <f t="shared" ref="R451:R514" si="29">F451*I451</f>
        <v>28.5</v>
      </c>
      <c r="S451">
        <f t="shared" si="28"/>
        <v>62</v>
      </c>
      <c r="T451" t="str">
        <f t="shared" ref="T451:T514" si="30">IF(F451&lt;G451,"Reorder Required","Sufficient Stock")</f>
        <v>Reorder Required</v>
      </c>
    </row>
    <row r="452" spans="1:20" x14ac:dyDescent="0.3">
      <c r="A452" t="s">
        <v>1755</v>
      </c>
      <c r="B452" t="s">
        <v>354</v>
      </c>
      <c r="C452" t="s">
        <v>47</v>
      </c>
      <c r="D452" t="s">
        <v>1756</v>
      </c>
      <c r="E452" t="s">
        <v>245</v>
      </c>
      <c r="F452">
        <v>47</v>
      </c>
      <c r="G452">
        <v>41</v>
      </c>
      <c r="H452">
        <v>63</v>
      </c>
      <c r="I452" s="1">
        <v>3</v>
      </c>
      <c r="J452" s="2">
        <v>45397</v>
      </c>
      <c r="K452" s="2">
        <v>45444</v>
      </c>
      <c r="L452" s="2">
        <v>45666</v>
      </c>
      <c r="M452" t="s">
        <v>1757</v>
      </c>
      <c r="N452">
        <v>39</v>
      </c>
      <c r="O452">
        <v>54</v>
      </c>
      <c r="P452" t="s">
        <v>44</v>
      </c>
      <c r="Q452" t="str">
        <f t="shared" si="27"/>
        <v>OK</v>
      </c>
      <c r="R452" s="3">
        <f t="shared" si="29"/>
        <v>141</v>
      </c>
      <c r="S452">
        <f t="shared" si="28"/>
        <v>0</v>
      </c>
      <c r="T452" t="str">
        <f t="shared" si="30"/>
        <v>Sufficient Stock</v>
      </c>
    </row>
    <row r="453" spans="1:20" x14ac:dyDescent="0.3">
      <c r="A453" t="s">
        <v>1758</v>
      </c>
      <c r="B453" t="s">
        <v>1125</v>
      </c>
      <c r="C453" t="s">
        <v>47</v>
      </c>
      <c r="D453" t="s">
        <v>1759</v>
      </c>
      <c r="E453" t="s">
        <v>1476</v>
      </c>
      <c r="F453">
        <v>98</v>
      </c>
      <c r="G453">
        <v>62</v>
      </c>
      <c r="H453">
        <v>97</v>
      </c>
      <c r="I453" s="1">
        <v>5.5</v>
      </c>
      <c r="J453" s="2">
        <v>45381</v>
      </c>
      <c r="K453" s="2">
        <v>45529</v>
      </c>
      <c r="L453" s="2">
        <v>45697</v>
      </c>
      <c r="M453" t="s">
        <v>1760</v>
      </c>
      <c r="N453">
        <v>59</v>
      </c>
      <c r="O453">
        <v>19</v>
      </c>
      <c r="P453" t="s">
        <v>44</v>
      </c>
      <c r="Q453" t="str">
        <f t="shared" si="27"/>
        <v>OK</v>
      </c>
      <c r="R453" s="3">
        <f t="shared" si="29"/>
        <v>539</v>
      </c>
      <c r="S453">
        <f t="shared" si="28"/>
        <v>0</v>
      </c>
      <c r="T453" t="str">
        <f t="shared" si="30"/>
        <v>Sufficient Stock</v>
      </c>
    </row>
    <row r="454" spans="1:20" x14ac:dyDescent="0.3">
      <c r="A454" t="s">
        <v>1761</v>
      </c>
      <c r="B454" t="s">
        <v>780</v>
      </c>
      <c r="C454" t="s">
        <v>47</v>
      </c>
      <c r="D454" t="s">
        <v>1762</v>
      </c>
      <c r="E454" t="s">
        <v>1763</v>
      </c>
      <c r="F454">
        <v>51</v>
      </c>
      <c r="G454">
        <v>72</v>
      </c>
      <c r="H454">
        <v>85</v>
      </c>
      <c r="I454" s="1">
        <v>3</v>
      </c>
      <c r="J454" s="2">
        <v>45374</v>
      </c>
      <c r="K454" s="2">
        <v>45396</v>
      </c>
      <c r="L454" s="2">
        <v>45588</v>
      </c>
      <c r="M454" t="s">
        <v>1764</v>
      </c>
      <c r="N454">
        <v>23</v>
      </c>
      <c r="O454">
        <v>17</v>
      </c>
      <c r="P454" t="s">
        <v>44</v>
      </c>
      <c r="Q454" t="str">
        <f t="shared" si="27"/>
        <v>OK</v>
      </c>
      <c r="R454" s="3">
        <f t="shared" si="29"/>
        <v>153</v>
      </c>
      <c r="S454">
        <f t="shared" si="28"/>
        <v>21</v>
      </c>
      <c r="T454" t="str">
        <f t="shared" si="30"/>
        <v>Reorder Required</v>
      </c>
    </row>
    <row r="455" spans="1:20" x14ac:dyDescent="0.3">
      <c r="A455" t="s">
        <v>1765</v>
      </c>
      <c r="B455" t="s">
        <v>800</v>
      </c>
      <c r="C455" t="s">
        <v>132</v>
      </c>
      <c r="D455" t="s">
        <v>1766</v>
      </c>
      <c r="E455" t="s">
        <v>638</v>
      </c>
      <c r="F455">
        <v>100</v>
      </c>
      <c r="G455">
        <v>99</v>
      </c>
      <c r="H455">
        <v>8</v>
      </c>
      <c r="I455" s="1">
        <v>10</v>
      </c>
      <c r="J455" s="2">
        <v>45707</v>
      </c>
      <c r="K455" s="2">
        <v>45591</v>
      </c>
      <c r="L455" s="2">
        <v>45633</v>
      </c>
      <c r="M455" t="s">
        <v>1767</v>
      </c>
      <c r="N455">
        <v>54</v>
      </c>
      <c r="O455">
        <v>92</v>
      </c>
      <c r="P455" t="s">
        <v>26</v>
      </c>
      <c r="Q455" t="str">
        <f t="shared" ref="Q455:Q518" si="31">IF(L455&lt;J455,"Expiry before Received",IF(K455&lt;J455,"Last Order before Received","OK"))</f>
        <v>Expiry before Received</v>
      </c>
      <c r="R455" s="3">
        <f t="shared" si="29"/>
        <v>1000</v>
      </c>
      <c r="S455">
        <f t="shared" si="28"/>
        <v>0</v>
      </c>
      <c r="T455" t="str">
        <f t="shared" si="30"/>
        <v>Sufficient Stock</v>
      </c>
    </row>
    <row r="456" spans="1:20" x14ac:dyDescent="0.3">
      <c r="A456" t="s">
        <v>1768</v>
      </c>
      <c r="B456" t="s">
        <v>1218</v>
      </c>
      <c r="C456" t="s">
        <v>64</v>
      </c>
      <c r="D456" t="s">
        <v>1769</v>
      </c>
      <c r="E456" t="s">
        <v>24</v>
      </c>
      <c r="F456">
        <v>55</v>
      </c>
      <c r="G456">
        <v>50</v>
      </c>
      <c r="H456">
        <v>56</v>
      </c>
      <c r="I456" s="1">
        <v>1.7</v>
      </c>
      <c r="J456" s="2">
        <v>45444</v>
      </c>
      <c r="K456" s="2">
        <v>45605</v>
      </c>
      <c r="L456" s="2">
        <v>45590</v>
      </c>
      <c r="M456" t="s">
        <v>1770</v>
      </c>
      <c r="N456">
        <v>62</v>
      </c>
      <c r="O456">
        <v>26</v>
      </c>
      <c r="P456" t="s">
        <v>38</v>
      </c>
      <c r="Q456" t="str">
        <f t="shared" si="31"/>
        <v>OK</v>
      </c>
      <c r="R456" s="3">
        <f t="shared" si="29"/>
        <v>93.5</v>
      </c>
      <c r="S456">
        <f t="shared" si="28"/>
        <v>0</v>
      </c>
      <c r="T456" t="str">
        <f t="shared" si="30"/>
        <v>Sufficient Stock</v>
      </c>
    </row>
    <row r="457" spans="1:20" x14ac:dyDescent="0.3">
      <c r="A457" t="s">
        <v>1771</v>
      </c>
      <c r="B457" t="s">
        <v>496</v>
      </c>
      <c r="C457" t="s">
        <v>64</v>
      </c>
      <c r="D457" t="s">
        <v>1772</v>
      </c>
      <c r="E457" t="s">
        <v>1773</v>
      </c>
      <c r="F457">
        <v>14</v>
      </c>
      <c r="G457">
        <v>87</v>
      </c>
      <c r="H457">
        <v>8</v>
      </c>
      <c r="I457" s="1">
        <v>4</v>
      </c>
      <c r="J457" s="2">
        <v>45361</v>
      </c>
      <c r="K457" s="2">
        <v>45607</v>
      </c>
      <c r="L457" s="2">
        <v>45687</v>
      </c>
      <c r="M457" t="s">
        <v>1774</v>
      </c>
      <c r="N457">
        <v>90</v>
      </c>
      <c r="O457">
        <v>14</v>
      </c>
      <c r="P457" t="s">
        <v>44</v>
      </c>
      <c r="Q457" t="str">
        <f t="shared" si="31"/>
        <v>OK</v>
      </c>
      <c r="R457" s="3">
        <f t="shared" si="29"/>
        <v>56</v>
      </c>
      <c r="S457">
        <f t="shared" si="28"/>
        <v>73</v>
      </c>
      <c r="T457" t="str">
        <f t="shared" si="30"/>
        <v>Reorder Required</v>
      </c>
    </row>
    <row r="458" spans="1:20" x14ac:dyDescent="0.3">
      <c r="A458" t="s">
        <v>1775</v>
      </c>
      <c r="B458" t="s">
        <v>157</v>
      </c>
      <c r="C458" t="s">
        <v>64</v>
      </c>
      <c r="D458" t="s">
        <v>1776</v>
      </c>
      <c r="E458" t="s">
        <v>295</v>
      </c>
      <c r="F458">
        <v>29</v>
      </c>
      <c r="G458">
        <v>33</v>
      </c>
      <c r="H458">
        <v>88</v>
      </c>
      <c r="I458" s="1">
        <v>0.8</v>
      </c>
      <c r="J458" s="2">
        <v>45492</v>
      </c>
      <c r="K458" s="2">
        <v>45527</v>
      </c>
      <c r="L458" s="2">
        <v>45427</v>
      </c>
      <c r="M458" t="s">
        <v>1777</v>
      </c>
      <c r="N458">
        <v>50</v>
      </c>
      <c r="O458">
        <v>35</v>
      </c>
      <c r="P458" t="s">
        <v>26</v>
      </c>
      <c r="Q458" t="str">
        <f t="shared" si="31"/>
        <v>Expiry before Received</v>
      </c>
      <c r="R458" s="3">
        <f t="shared" si="29"/>
        <v>23.200000000000003</v>
      </c>
      <c r="S458">
        <f t="shared" si="28"/>
        <v>4</v>
      </c>
      <c r="T458" t="str">
        <f t="shared" si="30"/>
        <v>Reorder Required</v>
      </c>
    </row>
    <row r="459" spans="1:20" x14ac:dyDescent="0.3">
      <c r="A459" t="s">
        <v>1778</v>
      </c>
      <c r="B459" t="s">
        <v>445</v>
      </c>
      <c r="C459" t="s">
        <v>89</v>
      </c>
      <c r="D459" t="s">
        <v>1779</v>
      </c>
      <c r="E459" t="s">
        <v>943</v>
      </c>
      <c r="F459">
        <v>100</v>
      </c>
      <c r="G459">
        <v>1</v>
      </c>
      <c r="H459">
        <v>26</v>
      </c>
      <c r="I459" s="1">
        <v>5</v>
      </c>
      <c r="J459" s="2">
        <v>45506</v>
      </c>
      <c r="K459" s="2">
        <v>45372</v>
      </c>
      <c r="L459" s="2">
        <v>45492</v>
      </c>
      <c r="M459" t="s">
        <v>1780</v>
      </c>
      <c r="N459">
        <v>47</v>
      </c>
      <c r="O459">
        <v>79</v>
      </c>
      <c r="P459" t="s">
        <v>44</v>
      </c>
      <c r="Q459" t="str">
        <f t="shared" si="31"/>
        <v>Expiry before Received</v>
      </c>
      <c r="R459" s="3">
        <f t="shared" si="29"/>
        <v>500</v>
      </c>
      <c r="S459">
        <f t="shared" si="28"/>
        <v>0</v>
      </c>
      <c r="T459" t="str">
        <f t="shared" si="30"/>
        <v>Sufficient Stock</v>
      </c>
    </row>
    <row r="460" spans="1:20" x14ac:dyDescent="0.3">
      <c r="A460" t="s">
        <v>1781</v>
      </c>
      <c r="B460" t="s">
        <v>328</v>
      </c>
      <c r="C460" t="s">
        <v>64</v>
      </c>
      <c r="D460" t="s">
        <v>1782</v>
      </c>
      <c r="E460" t="s">
        <v>1044</v>
      </c>
      <c r="F460">
        <v>49</v>
      </c>
      <c r="G460">
        <v>28</v>
      </c>
      <c r="H460">
        <v>74</v>
      </c>
      <c r="I460" s="1">
        <v>6</v>
      </c>
      <c r="J460" s="2">
        <v>45666</v>
      </c>
      <c r="K460" s="2">
        <v>45671</v>
      </c>
      <c r="L460" s="2">
        <v>45407</v>
      </c>
      <c r="M460" t="s">
        <v>1783</v>
      </c>
      <c r="N460">
        <v>70</v>
      </c>
      <c r="O460">
        <v>38</v>
      </c>
      <c r="P460" t="s">
        <v>26</v>
      </c>
      <c r="Q460" t="str">
        <f t="shared" si="31"/>
        <v>Expiry before Received</v>
      </c>
      <c r="R460" s="3">
        <f t="shared" si="29"/>
        <v>294</v>
      </c>
      <c r="S460">
        <f t="shared" si="28"/>
        <v>0</v>
      </c>
      <c r="T460" t="str">
        <f t="shared" si="30"/>
        <v>Sufficient Stock</v>
      </c>
    </row>
    <row r="461" spans="1:20" x14ac:dyDescent="0.3">
      <c r="A461" t="s">
        <v>1784</v>
      </c>
      <c r="B461" t="s">
        <v>710</v>
      </c>
      <c r="C461" t="s">
        <v>58</v>
      </c>
      <c r="D461" t="s">
        <v>1785</v>
      </c>
      <c r="E461" t="s">
        <v>1242</v>
      </c>
      <c r="F461">
        <v>75</v>
      </c>
      <c r="G461">
        <v>61</v>
      </c>
      <c r="H461">
        <v>19</v>
      </c>
      <c r="I461" s="1">
        <v>2</v>
      </c>
      <c r="J461" s="2">
        <v>45711</v>
      </c>
      <c r="K461" s="2">
        <v>45686</v>
      </c>
      <c r="L461" s="2">
        <v>45567</v>
      </c>
      <c r="M461" t="s">
        <v>1786</v>
      </c>
      <c r="N461">
        <v>79</v>
      </c>
      <c r="O461">
        <v>69</v>
      </c>
      <c r="P461" t="s">
        <v>38</v>
      </c>
      <c r="Q461" t="str">
        <f t="shared" si="31"/>
        <v>Expiry before Received</v>
      </c>
      <c r="R461" s="3">
        <f t="shared" si="29"/>
        <v>150</v>
      </c>
      <c r="S461">
        <f t="shared" si="28"/>
        <v>0</v>
      </c>
      <c r="T461" t="str">
        <f t="shared" si="30"/>
        <v>Sufficient Stock</v>
      </c>
    </row>
    <row r="462" spans="1:20" x14ac:dyDescent="0.3">
      <c r="A462" t="s">
        <v>1787</v>
      </c>
      <c r="B462" t="s">
        <v>363</v>
      </c>
      <c r="C462" t="s">
        <v>64</v>
      </c>
      <c r="D462" t="s">
        <v>1788</v>
      </c>
      <c r="E462" t="s">
        <v>1789</v>
      </c>
      <c r="F462">
        <v>82</v>
      </c>
      <c r="G462">
        <v>12</v>
      </c>
      <c r="H462">
        <v>94</v>
      </c>
      <c r="I462" s="1">
        <v>4.0999999999999996</v>
      </c>
      <c r="J462" s="2">
        <v>45350</v>
      </c>
      <c r="K462" s="2">
        <v>45463</v>
      </c>
      <c r="L462" s="2">
        <v>45678</v>
      </c>
      <c r="M462" t="s">
        <v>1790</v>
      </c>
      <c r="N462">
        <v>69</v>
      </c>
      <c r="O462">
        <v>93</v>
      </c>
      <c r="P462" t="s">
        <v>44</v>
      </c>
      <c r="Q462" t="str">
        <f t="shared" si="31"/>
        <v>OK</v>
      </c>
      <c r="R462" s="3">
        <f t="shared" si="29"/>
        <v>336.2</v>
      </c>
      <c r="S462">
        <f t="shared" si="28"/>
        <v>0</v>
      </c>
      <c r="T462" t="str">
        <f t="shared" si="30"/>
        <v>Sufficient Stock</v>
      </c>
    </row>
    <row r="463" spans="1:20" x14ac:dyDescent="0.3">
      <c r="A463" t="s">
        <v>1791</v>
      </c>
      <c r="B463" t="s">
        <v>492</v>
      </c>
      <c r="C463" t="s">
        <v>64</v>
      </c>
      <c r="D463" t="s">
        <v>1792</v>
      </c>
      <c r="E463" t="s">
        <v>31</v>
      </c>
      <c r="F463">
        <v>68</v>
      </c>
      <c r="G463">
        <v>82</v>
      </c>
      <c r="H463">
        <v>58</v>
      </c>
      <c r="I463" s="1">
        <v>4.8</v>
      </c>
      <c r="J463" s="2">
        <v>45390</v>
      </c>
      <c r="K463" s="2">
        <v>45528</v>
      </c>
      <c r="L463" s="2">
        <v>45387</v>
      </c>
      <c r="M463" t="s">
        <v>1793</v>
      </c>
      <c r="N463">
        <v>90</v>
      </c>
      <c r="O463">
        <v>2</v>
      </c>
      <c r="P463" t="s">
        <v>38</v>
      </c>
      <c r="Q463" t="str">
        <f t="shared" si="31"/>
        <v>Expiry before Received</v>
      </c>
      <c r="R463" s="3">
        <f t="shared" si="29"/>
        <v>326.39999999999998</v>
      </c>
      <c r="S463">
        <f t="shared" si="28"/>
        <v>14</v>
      </c>
      <c r="T463" t="str">
        <f t="shared" si="30"/>
        <v>Reorder Required</v>
      </c>
    </row>
    <row r="464" spans="1:20" x14ac:dyDescent="0.3">
      <c r="A464" t="s">
        <v>1794</v>
      </c>
      <c r="B464" t="s">
        <v>57</v>
      </c>
      <c r="C464" t="s">
        <v>58</v>
      </c>
      <c r="D464" t="s">
        <v>1795</v>
      </c>
      <c r="E464" t="s">
        <v>1796</v>
      </c>
      <c r="F464">
        <v>70</v>
      </c>
      <c r="G464">
        <v>96</v>
      </c>
      <c r="H464">
        <v>85</v>
      </c>
      <c r="I464" s="1">
        <v>2.5</v>
      </c>
      <c r="J464" s="2">
        <v>45348</v>
      </c>
      <c r="K464" s="2">
        <v>45538</v>
      </c>
      <c r="L464" s="2">
        <v>45592</v>
      </c>
      <c r="M464" t="s">
        <v>1797</v>
      </c>
      <c r="N464">
        <v>34</v>
      </c>
      <c r="O464">
        <v>3</v>
      </c>
      <c r="P464" t="s">
        <v>44</v>
      </c>
      <c r="Q464" t="str">
        <f t="shared" si="31"/>
        <v>OK</v>
      </c>
      <c r="R464" s="3">
        <f t="shared" si="29"/>
        <v>175</v>
      </c>
      <c r="S464">
        <f t="shared" si="28"/>
        <v>26</v>
      </c>
      <c r="T464" t="str">
        <f t="shared" si="30"/>
        <v>Reorder Required</v>
      </c>
    </row>
    <row r="465" spans="1:20" x14ac:dyDescent="0.3">
      <c r="A465" t="s">
        <v>1798</v>
      </c>
      <c r="B465" t="s">
        <v>1479</v>
      </c>
      <c r="C465" t="s">
        <v>132</v>
      </c>
      <c r="D465" t="s">
        <v>1799</v>
      </c>
      <c r="E465" t="s">
        <v>897</v>
      </c>
      <c r="F465">
        <v>49</v>
      </c>
      <c r="G465">
        <v>48</v>
      </c>
      <c r="H465">
        <v>62</v>
      </c>
      <c r="I465" s="1">
        <v>15</v>
      </c>
      <c r="J465" s="2">
        <v>45551</v>
      </c>
      <c r="K465" s="2">
        <v>45347</v>
      </c>
      <c r="L465" s="2">
        <v>45518</v>
      </c>
      <c r="M465" t="s">
        <v>1800</v>
      </c>
      <c r="N465">
        <v>96</v>
      </c>
      <c r="O465">
        <v>37</v>
      </c>
      <c r="P465" t="s">
        <v>44</v>
      </c>
      <c r="Q465" t="str">
        <f t="shared" si="31"/>
        <v>Expiry before Received</v>
      </c>
      <c r="R465" s="3">
        <f t="shared" si="29"/>
        <v>735</v>
      </c>
      <c r="S465">
        <f t="shared" si="28"/>
        <v>0</v>
      </c>
      <c r="T465" t="str">
        <f t="shared" si="30"/>
        <v>Sufficient Stock</v>
      </c>
    </row>
    <row r="466" spans="1:20" x14ac:dyDescent="0.3">
      <c r="A466" t="s">
        <v>1801</v>
      </c>
      <c r="B466" t="s">
        <v>1042</v>
      </c>
      <c r="C466" t="s">
        <v>132</v>
      </c>
      <c r="D466" t="s">
        <v>1802</v>
      </c>
      <c r="E466" t="s">
        <v>1803</v>
      </c>
      <c r="F466">
        <v>89</v>
      </c>
      <c r="G466">
        <v>26</v>
      </c>
      <c r="H466">
        <v>36</v>
      </c>
      <c r="I466" s="1">
        <v>7.5</v>
      </c>
      <c r="J466" s="2">
        <v>45589</v>
      </c>
      <c r="K466" s="2">
        <v>45503</v>
      </c>
      <c r="L466" s="2">
        <v>45457</v>
      </c>
      <c r="M466" t="s">
        <v>1804</v>
      </c>
      <c r="N466">
        <v>48</v>
      </c>
      <c r="O466">
        <v>94</v>
      </c>
      <c r="P466" t="s">
        <v>44</v>
      </c>
      <c r="Q466" t="str">
        <f t="shared" si="31"/>
        <v>Expiry before Received</v>
      </c>
      <c r="R466" s="3">
        <f t="shared" si="29"/>
        <v>667.5</v>
      </c>
      <c r="S466">
        <f t="shared" si="28"/>
        <v>0</v>
      </c>
      <c r="T466" t="str">
        <f t="shared" si="30"/>
        <v>Sufficient Stock</v>
      </c>
    </row>
    <row r="467" spans="1:20" x14ac:dyDescent="0.3">
      <c r="A467" t="s">
        <v>1805</v>
      </c>
      <c r="B467" t="s">
        <v>450</v>
      </c>
      <c r="C467" t="s">
        <v>64</v>
      </c>
      <c r="D467" t="s">
        <v>1806</v>
      </c>
      <c r="E467" t="s">
        <v>951</v>
      </c>
      <c r="F467">
        <v>88</v>
      </c>
      <c r="G467">
        <v>53</v>
      </c>
      <c r="H467">
        <v>44</v>
      </c>
      <c r="I467" s="1">
        <v>9</v>
      </c>
      <c r="J467" s="2">
        <v>45661</v>
      </c>
      <c r="K467" s="2">
        <v>45650</v>
      </c>
      <c r="L467" s="2">
        <v>45694</v>
      </c>
      <c r="M467" t="s">
        <v>1807</v>
      </c>
      <c r="N467">
        <v>56</v>
      </c>
      <c r="O467">
        <v>14</v>
      </c>
      <c r="P467" t="s">
        <v>26</v>
      </c>
      <c r="Q467" t="str">
        <f t="shared" si="31"/>
        <v>Last Order before Received</v>
      </c>
      <c r="R467" s="3">
        <f t="shared" si="29"/>
        <v>792</v>
      </c>
      <c r="S467">
        <f t="shared" si="28"/>
        <v>0</v>
      </c>
      <c r="T467" t="str">
        <f t="shared" si="30"/>
        <v>Sufficient Stock</v>
      </c>
    </row>
    <row r="468" spans="1:20" x14ac:dyDescent="0.3">
      <c r="A468" t="s">
        <v>1808</v>
      </c>
      <c r="B468" t="s">
        <v>672</v>
      </c>
      <c r="C468" t="s">
        <v>29</v>
      </c>
      <c r="D468" t="s">
        <v>1809</v>
      </c>
      <c r="E468" t="s">
        <v>932</v>
      </c>
      <c r="F468">
        <v>39</v>
      </c>
      <c r="G468">
        <v>88</v>
      </c>
      <c r="H468">
        <v>100</v>
      </c>
      <c r="I468" s="1">
        <v>8</v>
      </c>
      <c r="J468" s="2">
        <v>45621</v>
      </c>
      <c r="K468" s="2">
        <v>45687</v>
      </c>
      <c r="L468" s="2">
        <v>45427</v>
      </c>
      <c r="M468" t="s">
        <v>1810</v>
      </c>
      <c r="N468">
        <v>28</v>
      </c>
      <c r="O468">
        <v>18</v>
      </c>
      <c r="P468" t="s">
        <v>38</v>
      </c>
      <c r="Q468" t="str">
        <f t="shared" si="31"/>
        <v>Expiry before Received</v>
      </c>
      <c r="R468" s="3">
        <f t="shared" si="29"/>
        <v>312</v>
      </c>
      <c r="S468">
        <f t="shared" si="28"/>
        <v>49</v>
      </c>
      <c r="T468" t="str">
        <f t="shared" si="30"/>
        <v>Reorder Required</v>
      </c>
    </row>
    <row r="469" spans="1:20" x14ac:dyDescent="0.3">
      <c r="A469" t="s">
        <v>1811</v>
      </c>
      <c r="B469" t="s">
        <v>594</v>
      </c>
      <c r="C469" t="s">
        <v>47</v>
      </c>
      <c r="D469" t="s">
        <v>1812</v>
      </c>
      <c r="E469" t="s">
        <v>547</v>
      </c>
      <c r="F469">
        <v>87</v>
      </c>
      <c r="G469">
        <v>91</v>
      </c>
      <c r="H469">
        <v>94</v>
      </c>
      <c r="I469" s="1">
        <v>2.5</v>
      </c>
      <c r="J469" s="2">
        <v>45477</v>
      </c>
      <c r="K469" s="2">
        <v>45560</v>
      </c>
      <c r="L469" s="2">
        <v>45468</v>
      </c>
      <c r="M469" t="s">
        <v>1813</v>
      </c>
      <c r="N469">
        <v>47</v>
      </c>
      <c r="O469">
        <v>4</v>
      </c>
      <c r="P469" t="s">
        <v>26</v>
      </c>
      <c r="Q469" t="str">
        <f t="shared" si="31"/>
        <v>Expiry before Received</v>
      </c>
      <c r="R469" s="3">
        <f t="shared" si="29"/>
        <v>217.5</v>
      </c>
      <c r="S469">
        <f t="shared" si="28"/>
        <v>4</v>
      </c>
      <c r="T469" t="str">
        <f t="shared" si="30"/>
        <v>Reorder Required</v>
      </c>
    </row>
    <row r="470" spans="1:20" x14ac:dyDescent="0.3">
      <c r="A470" t="s">
        <v>1814</v>
      </c>
      <c r="B470" t="s">
        <v>167</v>
      </c>
      <c r="C470" t="s">
        <v>89</v>
      </c>
      <c r="D470" t="s">
        <v>1815</v>
      </c>
      <c r="E470" t="s">
        <v>447</v>
      </c>
      <c r="F470">
        <v>93</v>
      </c>
      <c r="G470">
        <v>50</v>
      </c>
      <c r="H470">
        <v>43</v>
      </c>
      <c r="I470" s="1">
        <v>5</v>
      </c>
      <c r="J470" s="2">
        <v>45470</v>
      </c>
      <c r="K470" s="2">
        <v>45428</v>
      </c>
      <c r="L470" s="2">
        <v>45574</v>
      </c>
      <c r="M470" t="s">
        <v>1816</v>
      </c>
      <c r="N470">
        <v>76</v>
      </c>
      <c r="O470">
        <v>35</v>
      </c>
      <c r="P470" t="s">
        <v>26</v>
      </c>
      <c r="Q470" t="str">
        <f t="shared" si="31"/>
        <v>Last Order before Received</v>
      </c>
      <c r="R470" s="3">
        <f t="shared" si="29"/>
        <v>465</v>
      </c>
      <c r="S470">
        <f t="shared" si="28"/>
        <v>0</v>
      </c>
      <c r="T470" t="str">
        <f t="shared" si="30"/>
        <v>Sufficient Stock</v>
      </c>
    </row>
    <row r="471" spans="1:20" x14ac:dyDescent="0.3">
      <c r="A471" t="s">
        <v>1817</v>
      </c>
      <c r="B471" t="s">
        <v>728</v>
      </c>
      <c r="C471" t="s">
        <v>64</v>
      </c>
      <c r="D471" t="s">
        <v>1818</v>
      </c>
      <c r="E471" t="s">
        <v>1819</v>
      </c>
      <c r="F471">
        <v>23</v>
      </c>
      <c r="G471">
        <v>21</v>
      </c>
      <c r="H471">
        <v>59</v>
      </c>
      <c r="I471" s="1">
        <v>2.4</v>
      </c>
      <c r="J471" s="2">
        <v>45519</v>
      </c>
      <c r="K471" s="2">
        <v>45361</v>
      </c>
      <c r="L471" s="2">
        <v>45572</v>
      </c>
      <c r="M471" t="s">
        <v>1820</v>
      </c>
      <c r="N471">
        <v>81</v>
      </c>
      <c r="O471">
        <v>8</v>
      </c>
      <c r="P471" t="s">
        <v>44</v>
      </c>
      <c r="Q471" t="str">
        <f t="shared" si="31"/>
        <v>Last Order before Received</v>
      </c>
      <c r="R471" s="3">
        <f t="shared" si="29"/>
        <v>55.199999999999996</v>
      </c>
      <c r="S471">
        <f t="shared" si="28"/>
        <v>0</v>
      </c>
      <c r="T471" t="str">
        <f t="shared" si="30"/>
        <v>Sufficient Stock</v>
      </c>
    </row>
    <row r="472" spans="1:20" x14ac:dyDescent="0.3">
      <c r="A472" t="s">
        <v>1821</v>
      </c>
      <c r="B472" t="s">
        <v>1433</v>
      </c>
      <c r="C472" t="s">
        <v>89</v>
      </c>
      <c r="D472" t="s">
        <v>1822</v>
      </c>
      <c r="E472" t="s">
        <v>1823</v>
      </c>
      <c r="F472">
        <v>94</v>
      </c>
      <c r="G472">
        <v>34</v>
      </c>
      <c r="H472">
        <v>21</v>
      </c>
      <c r="I472" s="1">
        <v>5.5</v>
      </c>
      <c r="J472" s="2">
        <v>45369</v>
      </c>
      <c r="K472" s="2">
        <v>45371</v>
      </c>
      <c r="L472" s="2">
        <v>45597</v>
      </c>
      <c r="M472" t="s">
        <v>1824</v>
      </c>
      <c r="N472">
        <v>74</v>
      </c>
      <c r="O472">
        <v>70</v>
      </c>
      <c r="P472" t="s">
        <v>38</v>
      </c>
      <c r="Q472" t="str">
        <f t="shared" si="31"/>
        <v>OK</v>
      </c>
      <c r="R472" s="3">
        <f t="shared" si="29"/>
        <v>517</v>
      </c>
      <c r="S472">
        <f t="shared" si="28"/>
        <v>0</v>
      </c>
      <c r="T472" t="str">
        <f t="shared" si="30"/>
        <v>Sufficient Stock</v>
      </c>
    </row>
    <row r="473" spans="1:20" x14ac:dyDescent="0.3">
      <c r="A473" t="s">
        <v>1825</v>
      </c>
      <c r="B473" t="s">
        <v>983</v>
      </c>
      <c r="C473" t="s">
        <v>89</v>
      </c>
      <c r="D473" t="s">
        <v>1826</v>
      </c>
      <c r="E473" t="s">
        <v>634</v>
      </c>
      <c r="F473">
        <v>38</v>
      </c>
      <c r="G473">
        <v>43</v>
      </c>
      <c r="H473">
        <v>91</v>
      </c>
      <c r="I473" s="1">
        <v>4</v>
      </c>
      <c r="J473" s="2">
        <v>45402</v>
      </c>
      <c r="K473" s="2">
        <v>45522</v>
      </c>
      <c r="L473" s="2">
        <v>45706</v>
      </c>
      <c r="M473" t="s">
        <v>1827</v>
      </c>
      <c r="N473">
        <v>72</v>
      </c>
      <c r="O473">
        <v>64</v>
      </c>
      <c r="P473" t="s">
        <v>44</v>
      </c>
      <c r="Q473" t="str">
        <f t="shared" si="31"/>
        <v>OK</v>
      </c>
      <c r="R473" s="3">
        <f t="shared" si="29"/>
        <v>152</v>
      </c>
      <c r="S473">
        <f t="shared" si="28"/>
        <v>5</v>
      </c>
      <c r="T473" t="str">
        <f t="shared" si="30"/>
        <v>Reorder Required</v>
      </c>
    </row>
    <row r="474" spans="1:20" x14ac:dyDescent="0.3">
      <c r="A474" t="s">
        <v>1828</v>
      </c>
      <c r="B474" t="s">
        <v>1192</v>
      </c>
      <c r="C474" t="s">
        <v>64</v>
      </c>
      <c r="D474" t="s">
        <v>1829</v>
      </c>
      <c r="E474" t="s">
        <v>669</v>
      </c>
      <c r="F474">
        <v>11</v>
      </c>
      <c r="G474">
        <v>9</v>
      </c>
      <c r="H474">
        <v>65</v>
      </c>
      <c r="I474" s="1">
        <v>2</v>
      </c>
      <c r="J474" s="2">
        <v>45578</v>
      </c>
      <c r="K474" s="2">
        <v>45630</v>
      </c>
      <c r="L474" s="2">
        <v>45453</v>
      </c>
      <c r="M474" t="s">
        <v>1830</v>
      </c>
      <c r="N474">
        <v>48</v>
      </c>
      <c r="O474">
        <v>96</v>
      </c>
      <c r="P474" t="s">
        <v>26</v>
      </c>
      <c r="Q474" t="str">
        <f t="shared" si="31"/>
        <v>Expiry before Received</v>
      </c>
      <c r="R474" s="3">
        <f t="shared" si="29"/>
        <v>22</v>
      </c>
      <c r="S474">
        <f t="shared" si="28"/>
        <v>0</v>
      </c>
      <c r="T474" t="str">
        <f t="shared" si="30"/>
        <v>Sufficient Stock</v>
      </c>
    </row>
    <row r="475" spans="1:20" x14ac:dyDescent="0.3">
      <c r="A475" t="s">
        <v>1831</v>
      </c>
      <c r="B475" t="s">
        <v>336</v>
      </c>
      <c r="C475" t="s">
        <v>29</v>
      </c>
      <c r="D475" t="s">
        <v>1832</v>
      </c>
      <c r="E475" t="s">
        <v>1588</v>
      </c>
      <c r="F475">
        <v>60</v>
      </c>
      <c r="G475">
        <v>27</v>
      </c>
      <c r="H475">
        <v>58</v>
      </c>
      <c r="I475" s="1">
        <v>25.3</v>
      </c>
      <c r="J475" s="2">
        <v>45652</v>
      </c>
      <c r="K475" s="2">
        <v>45470</v>
      </c>
      <c r="L475" s="2">
        <v>45615</v>
      </c>
      <c r="M475" t="s">
        <v>1833</v>
      </c>
      <c r="N475">
        <v>43</v>
      </c>
      <c r="O475">
        <v>91</v>
      </c>
      <c r="P475" t="s">
        <v>44</v>
      </c>
      <c r="Q475" t="str">
        <f t="shared" si="31"/>
        <v>Expiry before Received</v>
      </c>
      <c r="R475" s="3">
        <f t="shared" si="29"/>
        <v>1518</v>
      </c>
      <c r="S475">
        <f t="shared" si="28"/>
        <v>0</v>
      </c>
      <c r="T475" t="str">
        <f t="shared" si="30"/>
        <v>Sufficient Stock</v>
      </c>
    </row>
    <row r="476" spans="1:20" x14ac:dyDescent="0.3">
      <c r="A476" t="s">
        <v>1834</v>
      </c>
      <c r="B476" t="s">
        <v>603</v>
      </c>
      <c r="C476" t="s">
        <v>58</v>
      </c>
      <c r="D476" t="s">
        <v>1835</v>
      </c>
      <c r="E476" t="s">
        <v>299</v>
      </c>
      <c r="F476">
        <v>50</v>
      </c>
      <c r="G476">
        <v>36</v>
      </c>
      <c r="H476">
        <v>81</v>
      </c>
      <c r="I476" s="1">
        <v>10</v>
      </c>
      <c r="J476" s="2">
        <v>45561</v>
      </c>
      <c r="K476" s="2">
        <v>45424</v>
      </c>
      <c r="L476" s="2">
        <v>45447</v>
      </c>
      <c r="M476" t="s">
        <v>1836</v>
      </c>
      <c r="N476">
        <v>27</v>
      </c>
      <c r="O476">
        <v>6</v>
      </c>
      <c r="P476" t="s">
        <v>26</v>
      </c>
      <c r="Q476" t="str">
        <f t="shared" si="31"/>
        <v>Expiry before Received</v>
      </c>
      <c r="R476" s="3">
        <f t="shared" si="29"/>
        <v>500</v>
      </c>
      <c r="S476">
        <f t="shared" si="28"/>
        <v>0</v>
      </c>
      <c r="T476" t="str">
        <f t="shared" si="30"/>
        <v>Sufficient Stock</v>
      </c>
    </row>
    <row r="477" spans="1:20" x14ac:dyDescent="0.3">
      <c r="A477" t="s">
        <v>1837</v>
      </c>
      <c r="B477" t="s">
        <v>63</v>
      </c>
      <c r="C477" t="s">
        <v>64</v>
      </c>
      <c r="D477" t="s">
        <v>1838</v>
      </c>
      <c r="E477" t="s">
        <v>924</v>
      </c>
      <c r="F477">
        <v>90</v>
      </c>
      <c r="G477">
        <v>3</v>
      </c>
      <c r="H477">
        <v>49</v>
      </c>
      <c r="I477" s="1">
        <v>2.5</v>
      </c>
      <c r="J477" s="2">
        <v>45418</v>
      </c>
      <c r="K477" s="2">
        <v>45415</v>
      </c>
      <c r="L477" s="2">
        <v>45701</v>
      </c>
      <c r="M477" t="s">
        <v>1839</v>
      </c>
      <c r="N477">
        <v>51</v>
      </c>
      <c r="O477">
        <v>87</v>
      </c>
      <c r="P477" t="s">
        <v>26</v>
      </c>
      <c r="Q477" t="str">
        <f t="shared" si="31"/>
        <v>Last Order before Received</v>
      </c>
      <c r="R477" s="3">
        <f t="shared" si="29"/>
        <v>225</v>
      </c>
      <c r="S477">
        <f t="shared" si="28"/>
        <v>0</v>
      </c>
      <c r="T477" t="str">
        <f t="shared" si="30"/>
        <v>Sufficient Stock</v>
      </c>
    </row>
    <row r="478" spans="1:20" x14ac:dyDescent="0.3">
      <c r="A478" t="s">
        <v>1840</v>
      </c>
      <c r="B478" t="s">
        <v>385</v>
      </c>
      <c r="C478" t="s">
        <v>22</v>
      </c>
      <c r="D478" t="s">
        <v>1841</v>
      </c>
      <c r="E478" t="s">
        <v>1261</v>
      </c>
      <c r="F478">
        <v>86</v>
      </c>
      <c r="G478">
        <v>80</v>
      </c>
      <c r="H478">
        <v>80</v>
      </c>
      <c r="I478" s="1">
        <v>4.5</v>
      </c>
      <c r="J478" s="2">
        <v>45369</v>
      </c>
      <c r="K478" s="2">
        <v>45425</v>
      </c>
      <c r="L478" s="2">
        <v>45432</v>
      </c>
      <c r="M478" t="s">
        <v>1842</v>
      </c>
      <c r="N478">
        <v>22</v>
      </c>
      <c r="O478">
        <v>67</v>
      </c>
      <c r="P478" t="s">
        <v>26</v>
      </c>
      <c r="Q478" t="str">
        <f t="shared" si="31"/>
        <v>OK</v>
      </c>
      <c r="R478" s="3">
        <f t="shared" si="29"/>
        <v>387</v>
      </c>
      <c r="S478">
        <f t="shared" si="28"/>
        <v>0</v>
      </c>
      <c r="T478" t="str">
        <f t="shared" si="30"/>
        <v>Sufficient Stock</v>
      </c>
    </row>
    <row r="479" spans="1:20" x14ac:dyDescent="0.3">
      <c r="A479" t="s">
        <v>1843</v>
      </c>
      <c r="B479" t="s">
        <v>594</v>
      </c>
      <c r="C479" t="s">
        <v>47</v>
      </c>
      <c r="D479" t="s">
        <v>1844</v>
      </c>
      <c r="E479" t="s">
        <v>651</v>
      </c>
      <c r="F479">
        <v>86</v>
      </c>
      <c r="G479">
        <v>66</v>
      </c>
      <c r="H479">
        <v>24</v>
      </c>
      <c r="I479" s="1">
        <v>2.5</v>
      </c>
      <c r="J479" s="2">
        <v>45502</v>
      </c>
      <c r="K479" s="2">
        <v>45692</v>
      </c>
      <c r="L479" s="2">
        <v>45677</v>
      </c>
      <c r="M479" t="s">
        <v>1845</v>
      </c>
      <c r="N479">
        <v>30</v>
      </c>
      <c r="O479">
        <v>6</v>
      </c>
      <c r="P479" t="s">
        <v>26</v>
      </c>
      <c r="Q479" t="str">
        <f t="shared" si="31"/>
        <v>OK</v>
      </c>
      <c r="R479" s="3">
        <f t="shared" si="29"/>
        <v>215</v>
      </c>
      <c r="S479">
        <f t="shared" si="28"/>
        <v>0</v>
      </c>
      <c r="T479" t="str">
        <f t="shared" si="30"/>
        <v>Sufficient Stock</v>
      </c>
    </row>
    <row r="480" spans="1:20" x14ac:dyDescent="0.3">
      <c r="A480" t="s">
        <v>1846</v>
      </c>
      <c r="B480" t="s">
        <v>501</v>
      </c>
      <c r="C480" t="s">
        <v>22</v>
      </c>
      <c r="D480" t="s">
        <v>1847</v>
      </c>
      <c r="E480" t="s">
        <v>193</v>
      </c>
      <c r="F480">
        <v>54</v>
      </c>
      <c r="G480">
        <v>17</v>
      </c>
      <c r="H480">
        <v>90</v>
      </c>
      <c r="I480" s="1">
        <v>9.5</v>
      </c>
      <c r="J480" s="2">
        <v>45680</v>
      </c>
      <c r="K480" s="2">
        <v>45511</v>
      </c>
      <c r="L480" s="2">
        <v>45696</v>
      </c>
      <c r="M480" t="s">
        <v>1848</v>
      </c>
      <c r="N480">
        <v>60</v>
      </c>
      <c r="O480">
        <v>20</v>
      </c>
      <c r="P480" t="s">
        <v>44</v>
      </c>
      <c r="Q480" t="str">
        <f t="shared" si="31"/>
        <v>Last Order before Received</v>
      </c>
      <c r="R480" s="3">
        <f t="shared" si="29"/>
        <v>513</v>
      </c>
      <c r="S480">
        <f t="shared" si="28"/>
        <v>0</v>
      </c>
      <c r="T480" t="str">
        <f t="shared" si="30"/>
        <v>Sufficient Stock</v>
      </c>
    </row>
    <row r="481" spans="1:20" x14ac:dyDescent="0.3">
      <c r="A481" t="s">
        <v>1849</v>
      </c>
      <c r="B481" t="s">
        <v>780</v>
      </c>
      <c r="C481" t="s">
        <v>47</v>
      </c>
      <c r="D481" t="s">
        <v>1850</v>
      </c>
      <c r="E481" t="s">
        <v>1311</v>
      </c>
      <c r="F481">
        <v>27</v>
      </c>
      <c r="G481">
        <v>64</v>
      </c>
      <c r="H481">
        <v>43</v>
      </c>
      <c r="I481" s="1">
        <v>3</v>
      </c>
      <c r="J481" s="2">
        <v>45610</v>
      </c>
      <c r="K481" s="2">
        <v>45626</v>
      </c>
      <c r="L481" s="2">
        <v>45373</v>
      </c>
      <c r="M481" t="s">
        <v>1851</v>
      </c>
      <c r="N481">
        <v>70</v>
      </c>
      <c r="O481">
        <v>58</v>
      </c>
      <c r="P481" t="s">
        <v>26</v>
      </c>
      <c r="Q481" t="str">
        <f t="shared" si="31"/>
        <v>Expiry before Received</v>
      </c>
      <c r="R481" s="3">
        <f t="shared" si="29"/>
        <v>81</v>
      </c>
      <c r="S481">
        <f t="shared" si="28"/>
        <v>37</v>
      </c>
      <c r="T481" t="str">
        <f t="shared" si="30"/>
        <v>Reorder Required</v>
      </c>
    </row>
    <row r="482" spans="1:20" x14ac:dyDescent="0.3">
      <c r="A482" t="s">
        <v>1852</v>
      </c>
      <c r="B482" t="s">
        <v>88</v>
      </c>
      <c r="C482" t="s">
        <v>89</v>
      </c>
      <c r="D482" t="s">
        <v>1853</v>
      </c>
      <c r="E482" t="s">
        <v>1395</v>
      </c>
      <c r="F482">
        <v>50</v>
      </c>
      <c r="G482">
        <v>58</v>
      </c>
      <c r="H482">
        <v>78</v>
      </c>
      <c r="I482" s="1">
        <v>3</v>
      </c>
      <c r="J482" s="2">
        <v>45579</v>
      </c>
      <c r="K482" s="2">
        <v>45399</v>
      </c>
      <c r="L482" s="2">
        <v>45441</v>
      </c>
      <c r="M482" t="s">
        <v>1854</v>
      </c>
      <c r="N482">
        <v>83</v>
      </c>
      <c r="O482">
        <v>49</v>
      </c>
      <c r="P482" t="s">
        <v>44</v>
      </c>
      <c r="Q482" t="str">
        <f t="shared" si="31"/>
        <v>Expiry before Received</v>
      </c>
      <c r="R482" s="3">
        <f t="shared" si="29"/>
        <v>150</v>
      </c>
      <c r="S482">
        <f t="shared" si="28"/>
        <v>8</v>
      </c>
      <c r="T482" t="str">
        <f t="shared" si="30"/>
        <v>Reorder Required</v>
      </c>
    </row>
    <row r="483" spans="1:20" x14ac:dyDescent="0.3">
      <c r="A483" t="s">
        <v>1855</v>
      </c>
      <c r="B483" t="s">
        <v>201</v>
      </c>
      <c r="C483" t="s">
        <v>47</v>
      </c>
      <c r="D483" t="s">
        <v>1856</v>
      </c>
      <c r="E483" t="s">
        <v>939</v>
      </c>
      <c r="F483">
        <v>68</v>
      </c>
      <c r="G483">
        <v>10</v>
      </c>
      <c r="H483">
        <v>29</v>
      </c>
      <c r="I483" s="1">
        <v>2</v>
      </c>
      <c r="J483" s="2">
        <v>45596</v>
      </c>
      <c r="K483" s="2">
        <v>45450</v>
      </c>
      <c r="L483" s="2">
        <v>45374</v>
      </c>
      <c r="M483" t="s">
        <v>1857</v>
      </c>
      <c r="N483">
        <v>37</v>
      </c>
      <c r="O483">
        <v>11</v>
      </c>
      <c r="P483" t="s">
        <v>26</v>
      </c>
      <c r="Q483" t="str">
        <f t="shared" si="31"/>
        <v>Expiry before Received</v>
      </c>
      <c r="R483" s="3">
        <f t="shared" si="29"/>
        <v>136</v>
      </c>
      <c r="S483">
        <f t="shared" si="28"/>
        <v>0</v>
      </c>
      <c r="T483" t="str">
        <f t="shared" si="30"/>
        <v>Sufficient Stock</v>
      </c>
    </row>
    <row r="484" spans="1:20" x14ac:dyDescent="0.3">
      <c r="A484" t="s">
        <v>1858</v>
      </c>
      <c r="B484" t="s">
        <v>265</v>
      </c>
      <c r="C484" t="s">
        <v>89</v>
      </c>
      <c r="D484" t="s">
        <v>1859</v>
      </c>
      <c r="E484" t="s">
        <v>765</v>
      </c>
      <c r="F484">
        <v>22</v>
      </c>
      <c r="G484">
        <v>60</v>
      </c>
      <c r="H484">
        <v>73</v>
      </c>
      <c r="I484" s="1">
        <v>4.2</v>
      </c>
      <c r="J484" s="2">
        <v>45482</v>
      </c>
      <c r="K484" s="2">
        <v>45604</v>
      </c>
      <c r="L484" s="2">
        <v>45485</v>
      </c>
      <c r="M484" t="s">
        <v>1860</v>
      </c>
      <c r="N484">
        <v>62</v>
      </c>
      <c r="O484">
        <v>3</v>
      </c>
      <c r="P484" t="s">
        <v>38</v>
      </c>
      <c r="Q484" t="str">
        <f t="shared" si="31"/>
        <v>OK</v>
      </c>
      <c r="R484" s="3">
        <f t="shared" si="29"/>
        <v>92.4</v>
      </c>
      <c r="S484">
        <f t="shared" si="28"/>
        <v>38</v>
      </c>
      <c r="T484" t="str">
        <f t="shared" si="30"/>
        <v>Reorder Required</v>
      </c>
    </row>
    <row r="485" spans="1:20" x14ac:dyDescent="0.3">
      <c r="A485" t="s">
        <v>1861</v>
      </c>
      <c r="B485" t="s">
        <v>450</v>
      </c>
      <c r="C485" t="s">
        <v>64</v>
      </c>
      <c r="D485" t="s">
        <v>1862</v>
      </c>
      <c r="E485" t="s">
        <v>1024</v>
      </c>
      <c r="F485">
        <v>50</v>
      </c>
      <c r="G485">
        <v>14</v>
      </c>
      <c r="H485">
        <v>6</v>
      </c>
      <c r="I485" s="1">
        <v>9.1999999999999993</v>
      </c>
      <c r="J485" s="2">
        <v>45445</v>
      </c>
      <c r="K485" s="2">
        <v>45645</v>
      </c>
      <c r="L485" s="2">
        <v>45543</v>
      </c>
      <c r="M485" t="s">
        <v>1863</v>
      </c>
      <c r="N485">
        <v>60</v>
      </c>
      <c r="O485">
        <v>72</v>
      </c>
      <c r="P485" t="s">
        <v>38</v>
      </c>
      <c r="Q485" t="str">
        <f t="shared" si="31"/>
        <v>OK</v>
      </c>
      <c r="R485" s="3">
        <f t="shared" si="29"/>
        <v>459.99999999999994</v>
      </c>
      <c r="S485">
        <f t="shared" si="28"/>
        <v>0</v>
      </c>
      <c r="T485" t="str">
        <f t="shared" si="30"/>
        <v>Sufficient Stock</v>
      </c>
    </row>
    <row r="486" spans="1:20" x14ac:dyDescent="0.3">
      <c r="A486" t="s">
        <v>1864</v>
      </c>
      <c r="B486" t="s">
        <v>368</v>
      </c>
      <c r="C486" t="s">
        <v>47</v>
      </c>
      <c r="D486" t="s">
        <v>1865</v>
      </c>
      <c r="E486" t="s">
        <v>1866</v>
      </c>
      <c r="F486">
        <v>26</v>
      </c>
      <c r="G486">
        <v>12</v>
      </c>
      <c r="H486">
        <v>43</v>
      </c>
      <c r="I486" s="1">
        <v>4.4000000000000004</v>
      </c>
      <c r="J486" s="2">
        <v>45674</v>
      </c>
      <c r="K486" s="2">
        <v>45551</v>
      </c>
      <c r="L486" s="2">
        <v>45712</v>
      </c>
      <c r="M486" t="s">
        <v>1867</v>
      </c>
      <c r="N486">
        <v>73</v>
      </c>
      <c r="O486">
        <v>20</v>
      </c>
      <c r="P486" t="s">
        <v>38</v>
      </c>
      <c r="Q486" t="str">
        <f t="shared" si="31"/>
        <v>Last Order before Received</v>
      </c>
      <c r="R486" s="3">
        <f t="shared" si="29"/>
        <v>114.4</v>
      </c>
      <c r="S486">
        <f t="shared" si="28"/>
        <v>0</v>
      </c>
      <c r="T486" t="str">
        <f t="shared" si="30"/>
        <v>Sufficient Stock</v>
      </c>
    </row>
    <row r="487" spans="1:20" x14ac:dyDescent="0.3">
      <c r="A487" t="s">
        <v>1868</v>
      </c>
      <c r="B487" t="s">
        <v>336</v>
      </c>
      <c r="C487" t="s">
        <v>29</v>
      </c>
      <c r="D487" t="s">
        <v>1869</v>
      </c>
      <c r="E487" t="s">
        <v>1870</v>
      </c>
      <c r="F487">
        <v>62</v>
      </c>
      <c r="G487">
        <v>31</v>
      </c>
      <c r="H487">
        <v>24</v>
      </c>
      <c r="I487" s="1">
        <v>25</v>
      </c>
      <c r="J487" s="2">
        <v>45412</v>
      </c>
      <c r="K487" s="2">
        <v>45453</v>
      </c>
      <c r="L487" s="2">
        <v>45694</v>
      </c>
      <c r="M487" t="s">
        <v>1871</v>
      </c>
      <c r="N487">
        <v>89</v>
      </c>
      <c r="O487">
        <v>100</v>
      </c>
      <c r="P487" t="s">
        <v>38</v>
      </c>
      <c r="Q487" t="str">
        <f t="shared" si="31"/>
        <v>OK</v>
      </c>
      <c r="R487" s="3">
        <f t="shared" si="29"/>
        <v>1550</v>
      </c>
      <c r="S487">
        <f t="shared" si="28"/>
        <v>0</v>
      </c>
      <c r="T487" t="str">
        <f t="shared" si="30"/>
        <v>Sufficient Stock</v>
      </c>
    </row>
    <row r="488" spans="1:20" x14ac:dyDescent="0.3">
      <c r="A488" t="s">
        <v>1872</v>
      </c>
      <c r="B488" t="s">
        <v>349</v>
      </c>
      <c r="C488" t="s">
        <v>47</v>
      </c>
      <c r="D488" t="s">
        <v>1873</v>
      </c>
      <c r="E488" t="s">
        <v>279</v>
      </c>
      <c r="F488">
        <v>79</v>
      </c>
      <c r="G488">
        <v>72</v>
      </c>
      <c r="H488">
        <v>6</v>
      </c>
      <c r="I488" s="1">
        <v>4</v>
      </c>
      <c r="J488" s="2">
        <v>45484</v>
      </c>
      <c r="K488" s="2">
        <v>45418</v>
      </c>
      <c r="L488" s="2">
        <v>45413</v>
      </c>
      <c r="M488" t="s">
        <v>1874</v>
      </c>
      <c r="N488">
        <v>67</v>
      </c>
      <c r="O488">
        <v>63</v>
      </c>
      <c r="P488" t="s">
        <v>44</v>
      </c>
      <c r="Q488" t="str">
        <f t="shared" si="31"/>
        <v>Expiry before Received</v>
      </c>
      <c r="R488" s="3">
        <f t="shared" si="29"/>
        <v>316</v>
      </c>
      <c r="S488">
        <f t="shared" si="28"/>
        <v>0</v>
      </c>
      <c r="T488" t="str">
        <f t="shared" si="30"/>
        <v>Sufficient Stock</v>
      </c>
    </row>
    <row r="489" spans="1:20" x14ac:dyDescent="0.3">
      <c r="A489" t="s">
        <v>1875</v>
      </c>
      <c r="B489" t="s">
        <v>554</v>
      </c>
      <c r="C489" t="s">
        <v>47</v>
      </c>
      <c r="D489" t="s">
        <v>1876</v>
      </c>
      <c r="E489" t="s">
        <v>1443</v>
      </c>
      <c r="F489">
        <v>73</v>
      </c>
      <c r="G489">
        <v>90</v>
      </c>
      <c r="H489">
        <v>77</v>
      </c>
      <c r="I489" s="1">
        <v>4</v>
      </c>
      <c r="J489" s="2">
        <v>45348</v>
      </c>
      <c r="K489" s="2">
        <v>45519</v>
      </c>
      <c r="L489" s="2">
        <v>45357</v>
      </c>
      <c r="M489" t="s">
        <v>1877</v>
      </c>
      <c r="N489">
        <v>75</v>
      </c>
      <c r="O489">
        <v>19</v>
      </c>
      <c r="P489" t="s">
        <v>38</v>
      </c>
      <c r="Q489" t="str">
        <f t="shared" si="31"/>
        <v>OK</v>
      </c>
      <c r="R489" s="3">
        <f t="shared" si="29"/>
        <v>292</v>
      </c>
      <c r="S489">
        <f t="shared" si="28"/>
        <v>17</v>
      </c>
      <c r="T489" t="str">
        <f t="shared" si="30"/>
        <v>Reorder Required</v>
      </c>
    </row>
    <row r="490" spans="1:20" x14ac:dyDescent="0.3">
      <c r="A490" t="s">
        <v>1878</v>
      </c>
      <c r="B490" t="s">
        <v>311</v>
      </c>
      <c r="C490" t="s">
        <v>47</v>
      </c>
      <c r="D490" t="s">
        <v>1879</v>
      </c>
      <c r="E490" t="s">
        <v>761</v>
      </c>
      <c r="F490">
        <v>18</v>
      </c>
      <c r="G490">
        <v>50</v>
      </c>
      <c r="H490">
        <v>77</v>
      </c>
      <c r="I490" s="1">
        <v>1.45</v>
      </c>
      <c r="J490" s="2">
        <v>45599</v>
      </c>
      <c r="K490" s="2">
        <v>45534</v>
      </c>
      <c r="L490" s="2">
        <v>45707</v>
      </c>
      <c r="M490" t="s">
        <v>1880</v>
      </c>
      <c r="N490">
        <v>44</v>
      </c>
      <c r="O490">
        <v>19</v>
      </c>
      <c r="P490" t="s">
        <v>44</v>
      </c>
      <c r="Q490" t="str">
        <f t="shared" si="31"/>
        <v>Last Order before Received</v>
      </c>
      <c r="R490" s="3">
        <f t="shared" si="29"/>
        <v>26.099999999999998</v>
      </c>
      <c r="S490">
        <f t="shared" si="28"/>
        <v>32</v>
      </c>
      <c r="T490" t="str">
        <f t="shared" si="30"/>
        <v>Reorder Required</v>
      </c>
    </row>
    <row r="491" spans="1:20" x14ac:dyDescent="0.3">
      <c r="A491" t="s">
        <v>1881</v>
      </c>
      <c r="B491" t="s">
        <v>1002</v>
      </c>
      <c r="C491" t="s">
        <v>47</v>
      </c>
      <c r="D491" t="s">
        <v>1882</v>
      </c>
      <c r="E491" t="s">
        <v>568</v>
      </c>
      <c r="F491">
        <v>79</v>
      </c>
      <c r="G491">
        <v>74</v>
      </c>
      <c r="H491">
        <v>87</v>
      </c>
      <c r="I491" s="1">
        <v>4</v>
      </c>
      <c r="J491" s="2">
        <v>45511</v>
      </c>
      <c r="K491" s="2">
        <v>45391</v>
      </c>
      <c r="L491" s="2">
        <v>45583</v>
      </c>
      <c r="M491" t="s">
        <v>1883</v>
      </c>
      <c r="N491">
        <v>80</v>
      </c>
      <c r="O491">
        <v>26</v>
      </c>
      <c r="P491" t="s">
        <v>38</v>
      </c>
      <c r="Q491" t="str">
        <f t="shared" si="31"/>
        <v>Last Order before Received</v>
      </c>
      <c r="R491" s="3">
        <f t="shared" si="29"/>
        <v>316</v>
      </c>
      <c r="S491">
        <f t="shared" si="28"/>
        <v>0</v>
      </c>
      <c r="T491" t="str">
        <f t="shared" si="30"/>
        <v>Sufficient Stock</v>
      </c>
    </row>
    <row r="492" spans="1:20" x14ac:dyDescent="0.3">
      <c r="A492" t="s">
        <v>1884</v>
      </c>
      <c r="B492" t="s">
        <v>28</v>
      </c>
      <c r="C492" t="s">
        <v>29</v>
      </c>
      <c r="D492" t="s">
        <v>1885</v>
      </c>
      <c r="E492" t="s">
        <v>249</v>
      </c>
      <c r="F492">
        <v>23</v>
      </c>
      <c r="G492">
        <v>13</v>
      </c>
      <c r="H492">
        <v>15</v>
      </c>
      <c r="I492" s="1">
        <v>20</v>
      </c>
      <c r="J492" s="2">
        <v>45378</v>
      </c>
      <c r="K492" s="2">
        <v>45433</v>
      </c>
      <c r="L492" s="2">
        <v>45617</v>
      </c>
      <c r="M492" t="s">
        <v>1886</v>
      </c>
      <c r="N492">
        <v>31</v>
      </c>
      <c r="O492">
        <v>28</v>
      </c>
      <c r="P492" t="s">
        <v>38</v>
      </c>
      <c r="Q492" t="str">
        <f t="shared" si="31"/>
        <v>OK</v>
      </c>
      <c r="R492" s="3">
        <f t="shared" si="29"/>
        <v>460</v>
      </c>
      <c r="S492">
        <f t="shared" si="28"/>
        <v>0</v>
      </c>
      <c r="T492" t="str">
        <f t="shared" si="30"/>
        <v>Sufficient Stock</v>
      </c>
    </row>
    <row r="493" spans="1:20" x14ac:dyDescent="0.3">
      <c r="A493" t="s">
        <v>1887</v>
      </c>
      <c r="B493" t="s">
        <v>1099</v>
      </c>
      <c r="C493" t="s">
        <v>64</v>
      </c>
      <c r="D493" t="s">
        <v>1888</v>
      </c>
      <c r="E493" t="s">
        <v>1889</v>
      </c>
      <c r="F493">
        <v>18</v>
      </c>
      <c r="G493">
        <v>64</v>
      </c>
      <c r="H493">
        <v>86</v>
      </c>
      <c r="I493" s="1">
        <v>1</v>
      </c>
      <c r="J493" s="2">
        <v>45548</v>
      </c>
      <c r="K493" s="2">
        <v>45452</v>
      </c>
      <c r="L493" s="2">
        <v>45605</v>
      </c>
      <c r="M493" t="s">
        <v>1890</v>
      </c>
      <c r="N493">
        <v>73</v>
      </c>
      <c r="O493">
        <v>38</v>
      </c>
      <c r="P493" t="s">
        <v>44</v>
      </c>
      <c r="Q493" t="str">
        <f t="shared" si="31"/>
        <v>Last Order before Received</v>
      </c>
      <c r="R493" s="3">
        <f t="shared" si="29"/>
        <v>18</v>
      </c>
      <c r="S493">
        <f t="shared" si="28"/>
        <v>46</v>
      </c>
      <c r="T493" t="str">
        <f t="shared" si="30"/>
        <v>Reorder Required</v>
      </c>
    </row>
    <row r="494" spans="1:20" x14ac:dyDescent="0.3">
      <c r="A494" t="s">
        <v>1891</v>
      </c>
      <c r="B494" t="s">
        <v>864</v>
      </c>
      <c r="C494" t="s">
        <v>58</v>
      </c>
      <c r="D494" t="s">
        <v>1892</v>
      </c>
      <c r="E494" t="s">
        <v>777</v>
      </c>
      <c r="F494">
        <v>24</v>
      </c>
      <c r="G494">
        <v>35</v>
      </c>
      <c r="H494">
        <v>14</v>
      </c>
      <c r="I494" s="1">
        <v>2.5</v>
      </c>
      <c r="J494" s="2">
        <v>45416</v>
      </c>
      <c r="K494" s="2">
        <v>45467</v>
      </c>
      <c r="L494" s="2">
        <v>45627</v>
      </c>
      <c r="M494" t="s">
        <v>1893</v>
      </c>
      <c r="N494">
        <v>91</v>
      </c>
      <c r="O494">
        <v>71</v>
      </c>
      <c r="P494" t="s">
        <v>38</v>
      </c>
      <c r="Q494" t="str">
        <f t="shared" si="31"/>
        <v>OK</v>
      </c>
      <c r="R494" s="3">
        <f t="shared" si="29"/>
        <v>60</v>
      </c>
      <c r="S494">
        <f t="shared" si="28"/>
        <v>11</v>
      </c>
      <c r="T494" t="str">
        <f t="shared" si="30"/>
        <v>Reorder Required</v>
      </c>
    </row>
    <row r="495" spans="1:20" x14ac:dyDescent="0.3">
      <c r="A495" t="s">
        <v>1894</v>
      </c>
      <c r="B495" t="s">
        <v>780</v>
      </c>
      <c r="C495" t="s">
        <v>47</v>
      </c>
      <c r="D495" t="s">
        <v>1895</v>
      </c>
      <c r="E495" t="s">
        <v>609</v>
      </c>
      <c r="F495">
        <v>53</v>
      </c>
      <c r="G495">
        <v>41</v>
      </c>
      <c r="H495">
        <v>30</v>
      </c>
      <c r="I495" s="1">
        <v>3</v>
      </c>
      <c r="J495" s="2">
        <v>45367</v>
      </c>
      <c r="K495" s="2">
        <v>45670</v>
      </c>
      <c r="L495" s="2">
        <v>45554</v>
      </c>
      <c r="M495" t="s">
        <v>1896</v>
      </c>
      <c r="N495">
        <v>24</v>
      </c>
      <c r="O495">
        <v>77</v>
      </c>
      <c r="P495" t="s">
        <v>26</v>
      </c>
      <c r="Q495" t="str">
        <f t="shared" si="31"/>
        <v>OK</v>
      </c>
      <c r="R495" s="3">
        <f t="shared" si="29"/>
        <v>159</v>
      </c>
      <c r="S495">
        <f t="shared" si="28"/>
        <v>0</v>
      </c>
      <c r="T495" t="str">
        <f t="shared" si="30"/>
        <v>Sufficient Stock</v>
      </c>
    </row>
    <row r="496" spans="1:20" x14ac:dyDescent="0.3">
      <c r="A496" t="s">
        <v>1897</v>
      </c>
      <c r="B496" t="s">
        <v>1218</v>
      </c>
      <c r="C496" t="s">
        <v>64</v>
      </c>
      <c r="D496" t="s">
        <v>1898</v>
      </c>
      <c r="E496" t="s">
        <v>428</v>
      </c>
      <c r="F496">
        <v>85</v>
      </c>
      <c r="G496">
        <v>83</v>
      </c>
      <c r="H496">
        <v>13</v>
      </c>
      <c r="I496" s="1">
        <v>1.75</v>
      </c>
      <c r="J496" s="2">
        <v>45387</v>
      </c>
      <c r="K496" s="2">
        <v>45368</v>
      </c>
      <c r="L496" s="2">
        <v>45690</v>
      </c>
      <c r="M496" t="s">
        <v>1899</v>
      </c>
      <c r="N496">
        <v>49</v>
      </c>
      <c r="O496">
        <v>75</v>
      </c>
      <c r="P496" t="s">
        <v>38</v>
      </c>
      <c r="Q496" t="str">
        <f t="shared" si="31"/>
        <v>Last Order before Received</v>
      </c>
      <c r="R496" s="3">
        <f t="shared" si="29"/>
        <v>148.75</v>
      </c>
      <c r="S496">
        <f t="shared" si="28"/>
        <v>0</v>
      </c>
      <c r="T496" t="str">
        <f t="shared" si="30"/>
        <v>Sufficient Stock</v>
      </c>
    </row>
    <row r="497" spans="1:20" x14ac:dyDescent="0.3">
      <c r="A497" t="s">
        <v>1900</v>
      </c>
      <c r="B497" t="s">
        <v>737</v>
      </c>
      <c r="C497" t="s">
        <v>58</v>
      </c>
      <c r="D497" t="s">
        <v>1901</v>
      </c>
      <c r="E497" t="s">
        <v>1220</v>
      </c>
      <c r="F497">
        <v>15</v>
      </c>
      <c r="G497">
        <v>34</v>
      </c>
      <c r="H497">
        <v>57</v>
      </c>
      <c r="I497" s="1">
        <v>6.5</v>
      </c>
      <c r="J497" s="2">
        <v>45526</v>
      </c>
      <c r="K497" s="2">
        <v>45669</v>
      </c>
      <c r="L497" s="2">
        <v>45673</v>
      </c>
      <c r="M497" t="s">
        <v>1902</v>
      </c>
      <c r="N497">
        <v>49</v>
      </c>
      <c r="O497">
        <v>96</v>
      </c>
      <c r="P497" t="s">
        <v>26</v>
      </c>
      <c r="Q497" t="str">
        <f t="shared" si="31"/>
        <v>OK</v>
      </c>
      <c r="R497" s="3">
        <f t="shared" si="29"/>
        <v>97.5</v>
      </c>
      <c r="S497">
        <f t="shared" si="28"/>
        <v>19</v>
      </c>
      <c r="T497" t="str">
        <f t="shared" si="30"/>
        <v>Reorder Required</v>
      </c>
    </row>
    <row r="498" spans="1:20" x14ac:dyDescent="0.3">
      <c r="A498" t="s">
        <v>1903</v>
      </c>
      <c r="B498" t="s">
        <v>800</v>
      </c>
      <c r="C498" t="s">
        <v>132</v>
      </c>
      <c r="D498" t="s">
        <v>1904</v>
      </c>
      <c r="E498" t="s">
        <v>907</v>
      </c>
      <c r="F498">
        <v>66</v>
      </c>
      <c r="G498">
        <v>49</v>
      </c>
      <c r="H498">
        <v>41</v>
      </c>
      <c r="I498" s="1">
        <v>10</v>
      </c>
      <c r="J498" s="2">
        <v>45470</v>
      </c>
      <c r="K498" s="2">
        <v>45573</v>
      </c>
      <c r="L498" s="2">
        <v>45499</v>
      </c>
      <c r="M498" t="s">
        <v>1905</v>
      </c>
      <c r="N498">
        <v>27</v>
      </c>
      <c r="O498">
        <v>37</v>
      </c>
      <c r="P498" t="s">
        <v>26</v>
      </c>
      <c r="Q498" t="str">
        <f t="shared" si="31"/>
        <v>OK</v>
      </c>
      <c r="R498" s="3">
        <f t="shared" si="29"/>
        <v>660</v>
      </c>
      <c r="S498">
        <f t="shared" si="28"/>
        <v>0</v>
      </c>
      <c r="T498" t="str">
        <f t="shared" si="30"/>
        <v>Sufficient Stock</v>
      </c>
    </row>
    <row r="499" spans="1:20" x14ac:dyDescent="0.3">
      <c r="A499" t="s">
        <v>1906</v>
      </c>
      <c r="B499" t="s">
        <v>57</v>
      </c>
      <c r="C499" t="s">
        <v>58</v>
      </c>
      <c r="D499" t="s">
        <v>1907</v>
      </c>
      <c r="E499" t="s">
        <v>1789</v>
      </c>
      <c r="F499">
        <v>17</v>
      </c>
      <c r="G499">
        <v>63</v>
      </c>
      <c r="H499">
        <v>66</v>
      </c>
      <c r="I499" s="1">
        <v>2.5</v>
      </c>
      <c r="J499" s="2">
        <v>45682</v>
      </c>
      <c r="K499" s="2">
        <v>45681</v>
      </c>
      <c r="L499" s="2">
        <v>45617</v>
      </c>
      <c r="M499" t="s">
        <v>1908</v>
      </c>
      <c r="N499">
        <v>23</v>
      </c>
      <c r="O499">
        <v>46</v>
      </c>
      <c r="P499" t="s">
        <v>38</v>
      </c>
      <c r="Q499" t="str">
        <f t="shared" si="31"/>
        <v>Expiry before Received</v>
      </c>
      <c r="R499" s="3">
        <f t="shared" si="29"/>
        <v>42.5</v>
      </c>
      <c r="S499">
        <f t="shared" si="28"/>
        <v>46</v>
      </c>
      <c r="T499" t="str">
        <f t="shared" si="30"/>
        <v>Reorder Required</v>
      </c>
    </row>
    <row r="500" spans="1:20" x14ac:dyDescent="0.3">
      <c r="A500" t="s">
        <v>1909</v>
      </c>
      <c r="B500" t="s">
        <v>1125</v>
      </c>
      <c r="C500" t="s">
        <v>47</v>
      </c>
      <c r="D500" t="s">
        <v>1910</v>
      </c>
      <c r="E500" t="s">
        <v>976</v>
      </c>
      <c r="F500">
        <v>13</v>
      </c>
      <c r="G500">
        <v>61</v>
      </c>
      <c r="H500">
        <v>77</v>
      </c>
      <c r="I500" s="1">
        <v>5.5</v>
      </c>
      <c r="J500" s="2">
        <v>45495</v>
      </c>
      <c r="K500" s="2">
        <v>45709</v>
      </c>
      <c r="L500" s="2">
        <v>45686</v>
      </c>
      <c r="M500" t="s">
        <v>1911</v>
      </c>
      <c r="N500">
        <v>42</v>
      </c>
      <c r="O500">
        <v>18</v>
      </c>
      <c r="P500" t="s">
        <v>38</v>
      </c>
      <c r="Q500" t="str">
        <f t="shared" si="31"/>
        <v>OK</v>
      </c>
      <c r="R500" s="3">
        <f t="shared" si="29"/>
        <v>71.5</v>
      </c>
      <c r="S500">
        <f t="shared" si="28"/>
        <v>48</v>
      </c>
      <c r="T500" t="str">
        <f t="shared" si="30"/>
        <v>Reorder Required</v>
      </c>
    </row>
    <row r="501" spans="1:20" x14ac:dyDescent="0.3">
      <c r="A501" t="s">
        <v>1912</v>
      </c>
      <c r="B501" t="s">
        <v>983</v>
      </c>
      <c r="C501" t="s">
        <v>89</v>
      </c>
      <c r="D501" t="s">
        <v>1913</v>
      </c>
      <c r="E501" t="s">
        <v>1024</v>
      </c>
      <c r="F501">
        <v>34</v>
      </c>
      <c r="G501">
        <v>49</v>
      </c>
      <c r="H501">
        <v>27</v>
      </c>
      <c r="I501" s="1">
        <v>4</v>
      </c>
      <c r="J501" s="2">
        <v>45360</v>
      </c>
      <c r="K501" s="2">
        <v>45620</v>
      </c>
      <c r="L501" s="2">
        <v>45701</v>
      </c>
      <c r="M501" t="s">
        <v>1914</v>
      </c>
      <c r="N501">
        <v>78</v>
      </c>
      <c r="O501">
        <v>20</v>
      </c>
      <c r="P501" t="s">
        <v>26</v>
      </c>
      <c r="Q501" t="str">
        <f t="shared" si="31"/>
        <v>OK</v>
      </c>
      <c r="R501" s="3">
        <f t="shared" si="29"/>
        <v>136</v>
      </c>
      <c r="S501">
        <f t="shared" si="28"/>
        <v>15</v>
      </c>
      <c r="T501" t="str">
        <f t="shared" si="30"/>
        <v>Reorder Required</v>
      </c>
    </row>
    <row r="502" spans="1:20" x14ac:dyDescent="0.3">
      <c r="A502" t="s">
        <v>1915</v>
      </c>
      <c r="B502" t="s">
        <v>113</v>
      </c>
      <c r="C502" t="s">
        <v>64</v>
      </c>
      <c r="D502" t="s">
        <v>1916</v>
      </c>
      <c r="E502" t="s">
        <v>1917</v>
      </c>
      <c r="F502">
        <v>85</v>
      </c>
      <c r="G502">
        <v>89</v>
      </c>
      <c r="H502">
        <v>41</v>
      </c>
      <c r="I502" s="1">
        <v>8</v>
      </c>
      <c r="J502" s="2">
        <v>45404</v>
      </c>
      <c r="K502" s="2">
        <v>45389</v>
      </c>
      <c r="L502" s="2">
        <v>45703</v>
      </c>
      <c r="M502" t="s">
        <v>1918</v>
      </c>
      <c r="N502">
        <v>68</v>
      </c>
      <c r="O502">
        <v>93</v>
      </c>
      <c r="P502" t="s">
        <v>26</v>
      </c>
      <c r="Q502" t="str">
        <f t="shared" si="31"/>
        <v>Last Order before Received</v>
      </c>
      <c r="R502" s="3">
        <f t="shared" si="29"/>
        <v>680</v>
      </c>
      <c r="S502">
        <f t="shared" si="28"/>
        <v>4</v>
      </c>
      <c r="T502" t="str">
        <f t="shared" si="30"/>
        <v>Reorder Required</v>
      </c>
    </row>
    <row r="503" spans="1:20" x14ac:dyDescent="0.3">
      <c r="A503" t="s">
        <v>1919</v>
      </c>
      <c r="B503" t="s">
        <v>142</v>
      </c>
      <c r="C503" t="s">
        <v>47</v>
      </c>
      <c r="D503" t="s">
        <v>1920</v>
      </c>
      <c r="E503" t="s">
        <v>765</v>
      </c>
      <c r="F503">
        <v>12</v>
      </c>
      <c r="G503">
        <v>95</v>
      </c>
      <c r="H503">
        <v>49</v>
      </c>
      <c r="I503" s="1">
        <v>1</v>
      </c>
      <c r="J503" s="2">
        <v>45452</v>
      </c>
      <c r="K503" s="2">
        <v>45456</v>
      </c>
      <c r="L503" s="2">
        <v>45606</v>
      </c>
      <c r="M503" t="s">
        <v>1921</v>
      </c>
      <c r="N503">
        <v>25</v>
      </c>
      <c r="O503">
        <v>23</v>
      </c>
      <c r="P503" t="s">
        <v>38</v>
      </c>
      <c r="Q503" t="str">
        <f t="shared" si="31"/>
        <v>OK</v>
      </c>
      <c r="R503" s="3">
        <f t="shared" si="29"/>
        <v>12</v>
      </c>
      <c r="S503">
        <f t="shared" si="28"/>
        <v>83</v>
      </c>
      <c r="T503" t="str">
        <f t="shared" si="30"/>
        <v>Reorder Required</v>
      </c>
    </row>
    <row r="504" spans="1:20" x14ac:dyDescent="0.3">
      <c r="A504" t="s">
        <v>1922</v>
      </c>
      <c r="B504" t="s">
        <v>167</v>
      </c>
      <c r="C504" t="s">
        <v>89</v>
      </c>
      <c r="D504" t="s">
        <v>1923</v>
      </c>
      <c r="E504" t="s">
        <v>1028</v>
      </c>
      <c r="F504">
        <v>82</v>
      </c>
      <c r="G504">
        <v>6</v>
      </c>
      <c r="H504">
        <v>53</v>
      </c>
      <c r="I504" s="1">
        <v>5</v>
      </c>
      <c r="J504" s="2">
        <v>45603</v>
      </c>
      <c r="K504" s="2">
        <v>45411</v>
      </c>
      <c r="L504" s="2">
        <v>45421</v>
      </c>
      <c r="M504" t="s">
        <v>1924</v>
      </c>
      <c r="N504">
        <v>21</v>
      </c>
      <c r="O504">
        <v>58</v>
      </c>
      <c r="P504" t="s">
        <v>44</v>
      </c>
      <c r="Q504" t="str">
        <f t="shared" si="31"/>
        <v>Expiry before Received</v>
      </c>
      <c r="R504" s="3">
        <f t="shared" si="29"/>
        <v>410</v>
      </c>
      <c r="S504">
        <f t="shared" si="28"/>
        <v>0</v>
      </c>
      <c r="T504" t="str">
        <f t="shared" si="30"/>
        <v>Sufficient Stock</v>
      </c>
    </row>
    <row r="505" spans="1:20" x14ac:dyDescent="0.3">
      <c r="A505" t="s">
        <v>1925</v>
      </c>
      <c r="B505" t="s">
        <v>265</v>
      </c>
      <c r="C505" t="s">
        <v>89</v>
      </c>
      <c r="D505" t="s">
        <v>1926</v>
      </c>
      <c r="E505" t="s">
        <v>1927</v>
      </c>
      <c r="F505">
        <v>71</v>
      </c>
      <c r="G505">
        <v>97</v>
      </c>
      <c r="H505">
        <v>44</v>
      </c>
      <c r="I505" s="1">
        <v>4</v>
      </c>
      <c r="J505" s="2">
        <v>45623</v>
      </c>
      <c r="K505" s="2">
        <v>45348</v>
      </c>
      <c r="L505" s="2">
        <v>45480</v>
      </c>
      <c r="M505" t="s">
        <v>1928</v>
      </c>
      <c r="N505">
        <v>58</v>
      </c>
      <c r="O505">
        <v>14</v>
      </c>
      <c r="P505" t="s">
        <v>26</v>
      </c>
      <c r="Q505" t="str">
        <f t="shared" si="31"/>
        <v>Expiry before Received</v>
      </c>
      <c r="R505" s="3">
        <f t="shared" si="29"/>
        <v>284</v>
      </c>
      <c r="S505">
        <f t="shared" si="28"/>
        <v>26</v>
      </c>
      <c r="T505" t="str">
        <f t="shared" si="30"/>
        <v>Reorder Required</v>
      </c>
    </row>
    <row r="506" spans="1:20" x14ac:dyDescent="0.3">
      <c r="A506" t="s">
        <v>1929</v>
      </c>
      <c r="B506" t="s">
        <v>344</v>
      </c>
      <c r="C506" t="s">
        <v>64</v>
      </c>
      <c r="D506" t="s">
        <v>1930</v>
      </c>
      <c r="E506" t="s">
        <v>308</v>
      </c>
      <c r="F506">
        <v>58</v>
      </c>
      <c r="G506">
        <v>17</v>
      </c>
      <c r="H506">
        <v>26</v>
      </c>
      <c r="I506" s="1">
        <v>7</v>
      </c>
      <c r="J506" s="2">
        <v>45466</v>
      </c>
      <c r="K506" s="2">
        <v>45480</v>
      </c>
      <c r="L506" s="2">
        <v>45660</v>
      </c>
      <c r="M506" t="s">
        <v>1931</v>
      </c>
      <c r="N506">
        <v>62</v>
      </c>
      <c r="O506">
        <v>89</v>
      </c>
      <c r="P506" t="s">
        <v>38</v>
      </c>
      <c r="Q506" t="str">
        <f t="shared" si="31"/>
        <v>OK</v>
      </c>
      <c r="R506" s="3">
        <f t="shared" si="29"/>
        <v>406</v>
      </c>
      <c r="S506">
        <f t="shared" si="28"/>
        <v>0</v>
      </c>
      <c r="T506" t="str">
        <f t="shared" si="30"/>
        <v>Sufficient Stock</v>
      </c>
    </row>
    <row r="507" spans="1:20" x14ac:dyDescent="0.3">
      <c r="A507" t="s">
        <v>1932</v>
      </c>
      <c r="B507" t="s">
        <v>472</v>
      </c>
      <c r="C507" t="s">
        <v>22</v>
      </c>
      <c r="D507" t="s">
        <v>1933</v>
      </c>
      <c r="E507" t="s">
        <v>485</v>
      </c>
      <c r="F507">
        <v>15</v>
      </c>
      <c r="G507">
        <v>76</v>
      </c>
      <c r="H507">
        <v>81</v>
      </c>
      <c r="I507" s="1">
        <v>2</v>
      </c>
      <c r="J507" s="2">
        <v>45612</v>
      </c>
      <c r="K507" s="2">
        <v>45460</v>
      </c>
      <c r="L507" s="2">
        <v>45694</v>
      </c>
      <c r="M507" t="s">
        <v>1934</v>
      </c>
      <c r="N507">
        <v>90</v>
      </c>
      <c r="O507">
        <v>26</v>
      </c>
      <c r="P507" t="s">
        <v>38</v>
      </c>
      <c r="Q507" t="str">
        <f t="shared" si="31"/>
        <v>Last Order before Received</v>
      </c>
      <c r="R507" s="3">
        <f t="shared" si="29"/>
        <v>30</v>
      </c>
      <c r="S507">
        <f t="shared" si="28"/>
        <v>61</v>
      </c>
      <c r="T507" t="str">
        <f t="shared" si="30"/>
        <v>Reorder Required</v>
      </c>
    </row>
    <row r="508" spans="1:20" x14ac:dyDescent="0.3">
      <c r="A508" t="s">
        <v>1935</v>
      </c>
      <c r="B508" t="s">
        <v>181</v>
      </c>
      <c r="C508" t="s">
        <v>47</v>
      </c>
      <c r="D508" t="s">
        <v>1936</v>
      </c>
      <c r="E508" t="s">
        <v>1115</v>
      </c>
      <c r="F508">
        <v>68</v>
      </c>
      <c r="G508">
        <v>25</v>
      </c>
      <c r="H508">
        <v>16</v>
      </c>
      <c r="I508" s="1">
        <v>3.5</v>
      </c>
      <c r="J508" s="2">
        <v>45386</v>
      </c>
      <c r="K508" s="2">
        <v>45523</v>
      </c>
      <c r="L508" s="2">
        <v>45470</v>
      </c>
      <c r="M508" t="s">
        <v>1937</v>
      </c>
      <c r="N508">
        <v>25</v>
      </c>
      <c r="O508">
        <v>83</v>
      </c>
      <c r="P508" t="s">
        <v>44</v>
      </c>
      <c r="Q508" t="str">
        <f t="shared" si="31"/>
        <v>OK</v>
      </c>
      <c r="R508" s="3">
        <f t="shared" si="29"/>
        <v>238</v>
      </c>
      <c r="S508">
        <f t="shared" si="28"/>
        <v>0</v>
      </c>
      <c r="T508" t="str">
        <f t="shared" si="30"/>
        <v>Sufficient Stock</v>
      </c>
    </row>
    <row r="509" spans="1:20" x14ac:dyDescent="0.3">
      <c r="A509" t="s">
        <v>1938</v>
      </c>
      <c r="B509" t="s">
        <v>83</v>
      </c>
      <c r="C509" t="s">
        <v>22</v>
      </c>
      <c r="D509" t="s">
        <v>1939</v>
      </c>
      <c r="E509" t="s">
        <v>1940</v>
      </c>
      <c r="F509">
        <v>13</v>
      </c>
      <c r="G509">
        <v>32</v>
      </c>
      <c r="H509">
        <v>79</v>
      </c>
      <c r="I509" s="1">
        <v>2</v>
      </c>
      <c r="J509" s="2">
        <v>45419</v>
      </c>
      <c r="K509" s="2">
        <v>45704</v>
      </c>
      <c r="L509" s="2">
        <v>45576</v>
      </c>
      <c r="M509" t="s">
        <v>1941</v>
      </c>
      <c r="N509">
        <v>38</v>
      </c>
      <c r="O509">
        <v>61</v>
      </c>
      <c r="P509" t="s">
        <v>26</v>
      </c>
      <c r="Q509" t="str">
        <f t="shared" si="31"/>
        <v>OK</v>
      </c>
      <c r="R509" s="3">
        <f t="shared" si="29"/>
        <v>26</v>
      </c>
      <c r="S509">
        <f t="shared" si="28"/>
        <v>19</v>
      </c>
      <c r="T509" t="str">
        <f t="shared" si="30"/>
        <v>Reorder Required</v>
      </c>
    </row>
    <row r="510" spans="1:20" x14ac:dyDescent="0.3">
      <c r="A510" t="s">
        <v>1942</v>
      </c>
      <c r="B510" t="s">
        <v>737</v>
      </c>
      <c r="C510" t="s">
        <v>58</v>
      </c>
      <c r="D510" t="s">
        <v>1943</v>
      </c>
      <c r="E510" t="s">
        <v>1700</v>
      </c>
      <c r="F510">
        <v>45</v>
      </c>
      <c r="G510">
        <v>7</v>
      </c>
      <c r="H510">
        <v>58</v>
      </c>
      <c r="I510" s="1">
        <v>6.5</v>
      </c>
      <c r="J510" s="2">
        <v>45537</v>
      </c>
      <c r="K510" s="2">
        <v>45387</v>
      </c>
      <c r="L510" s="2">
        <v>45530</v>
      </c>
      <c r="M510" t="s">
        <v>1944</v>
      </c>
      <c r="N510">
        <v>86</v>
      </c>
      <c r="O510">
        <v>77</v>
      </c>
      <c r="P510" t="s">
        <v>26</v>
      </c>
      <c r="Q510" t="str">
        <f t="shared" si="31"/>
        <v>Expiry before Received</v>
      </c>
      <c r="R510" s="3">
        <f t="shared" si="29"/>
        <v>292.5</v>
      </c>
      <c r="S510">
        <f t="shared" si="28"/>
        <v>0</v>
      </c>
      <c r="T510" t="str">
        <f t="shared" si="30"/>
        <v>Sufficient Stock</v>
      </c>
    </row>
    <row r="511" spans="1:20" x14ac:dyDescent="0.3">
      <c r="A511" t="s">
        <v>1945</v>
      </c>
      <c r="B511" t="s">
        <v>63</v>
      </c>
      <c r="C511" t="s">
        <v>64</v>
      </c>
      <c r="D511" t="s">
        <v>1946</v>
      </c>
      <c r="E511" t="s">
        <v>100</v>
      </c>
      <c r="F511">
        <v>40</v>
      </c>
      <c r="G511">
        <v>22</v>
      </c>
      <c r="H511">
        <v>74</v>
      </c>
      <c r="I511" s="1">
        <v>2.4500000000000002</v>
      </c>
      <c r="J511" s="2">
        <v>45373</v>
      </c>
      <c r="K511" s="2">
        <v>45558</v>
      </c>
      <c r="L511" s="2">
        <v>45367</v>
      </c>
      <c r="M511" t="s">
        <v>1947</v>
      </c>
      <c r="N511">
        <v>76</v>
      </c>
      <c r="O511">
        <v>70</v>
      </c>
      <c r="P511" t="s">
        <v>38</v>
      </c>
      <c r="Q511" t="str">
        <f t="shared" si="31"/>
        <v>Expiry before Received</v>
      </c>
      <c r="R511" s="3">
        <f t="shared" si="29"/>
        <v>98</v>
      </c>
      <c r="S511">
        <f t="shared" si="28"/>
        <v>0</v>
      </c>
      <c r="T511" t="str">
        <f t="shared" si="30"/>
        <v>Sufficient Stock</v>
      </c>
    </row>
    <row r="512" spans="1:20" x14ac:dyDescent="0.3">
      <c r="A512" t="s">
        <v>1948</v>
      </c>
      <c r="B512" t="s">
        <v>234</v>
      </c>
      <c r="C512" t="s">
        <v>29</v>
      </c>
      <c r="D512" t="s">
        <v>1949</v>
      </c>
      <c r="E512" t="s">
        <v>1950</v>
      </c>
      <c r="F512">
        <v>62</v>
      </c>
      <c r="G512">
        <v>23</v>
      </c>
      <c r="H512">
        <v>25</v>
      </c>
      <c r="I512" s="1">
        <v>15.5</v>
      </c>
      <c r="J512" s="2">
        <v>45496</v>
      </c>
      <c r="K512" s="2">
        <v>45411</v>
      </c>
      <c r="L512" s="2">
        <v>45359</v>
      </c>
      <c r="M512" t="s">
        <v>1951</v>
      </c>
      <c r="N512">
        <v>34</v>
      </c>
      <c r="O512">
        <v>68</v>
      </c>
      <c r="P512" t="s">
        <v>26</v>
      </c>
      <c r="Q512" t="str">
        <f t="shared" si="31"/>
        <v>Expiry before Received</v>
      </c>
      <c r="R512" s="3">
        <f t="shared" si="29"/>
        <v>961</v>
      </c>
      <c r="S512">
        <f t="shared" si="28"/>
        <v>0</v>
      </c>
      <c r="T512" t="str">
        <f t="shared" si="30"/>
        <v>Sufficient Stock</v>
      </c>
    </row>
    <row r="513" spans="1:20" x14ac:dyDescent="0.3">
      <c r="A513" t="s">
        <v>1952</v>
      </c>
      <c r="B513" t="s">
        <v>435</v>
      </c>
      <c r="C513" t="s">
        <v>58</v>
      </c>
      <c r="D513" t="s">
        <v>1953</v>
      </c>
      <c r="E513" t="s">
        <v>1954</v>
      </c>
      <c r="F513">
        <v>79</v>
      </c>
      <c r="G513">
        <v>3</v>
      </c>
      <c r="H513">
        <v>36</v>
      </c>
      <c r="I513" s="1">
        <v>4</v>
      </c>
      <c r="J513" s="2">
        <v>45520</v>
      </c>
      <c r="K513" s="2">
        <v>45682</v>
      </c>
      <c r="L513" s="2">
        <v>45534</v>
      </c>
      <c r="M513" t="s">
        <v>1955</v>
      </c>
      <c r="N513">
        <v>46</v>
      </c>
      <c r="O513">
        <v>29</v>
      </c>
      <c r="P513" t="s">
        <v>26</v>
      </c>
      <c r="Q513" t="str">
        <f t="shared" si="31"/>
        <v>OK</v>
      </c>
      <c r="R513" s="3">
        <f t="shared" si="29"/>
        <v>316</v>
      </c>
      <c r="S513">
        <f t="shared" si="28"/>
        <v>0</v>
      </c>
      <c r="T513" t="str">
        <f t="shared" si="30"/>
        <v>Sufficient Stock</v>
      </c>
    </row>
    <row r="514" spans="1:20" x14ac:dyDescent="0.3">
      <c r="A514" t="s">
        <v>1956</v>
      </c>
      <c r="B514" t="s">
        <v>402</v>
      </c>
      <c r="C514" t="s">
        <v>47</v>
      </c>
      <c r="D514" t="s">
        <v>1957</v>
      </c>
      <c r="E514" t="s">
        <v>697</v>
      </c>
      <c r="F514">
        <v>75</v>
      </c>
      <c r="G514">
        <v>91</v>
      </c>
      <c r="H514">
        <v>68</v>
      </c>
      <c r="I514" s="1">
        <v>3</v>
      </c>
      <c r="J514" s="2">
        <v>45596</v>
      </c>
      <c r="K514" s="2">
        <v>45405</v>
      </c>
      <c r="L514" s="2">
        <v>45636</v>
      </c>
      <c r="M514" t="s">
        <v>1958</v>
      </c>
      <c r="N514">
        <v>96</v>
      </c>
      <c r="O514">
        <v>73</v>
      </c>
      <c r="P514" t="s">
        <v>38</v>
      </c>
      <c r="Q514" t="str">
        <f t="shared" si="31"/>
        <v>Last Order before Received</v>
      </c>
      <c r="R514" s="3">
        <f t="shared" si="29"/>
        <v>225</v>
      </c>
      <c r="S514">
        <f t="shared" ref="S514:S577" si="32">MAX(0,G514-F514)</f>
        <v>16</v>
      </c>
      <c r="T514" t="str">
        <f t="shared" si="30"/>
        <v>Reorder Required</v>
      </c>
    </row>
    <row r="515" spans="1:20" x14ac:dyDescent="0.3">
      <c r="A515" t="s">
        <v>1959</v>
      </c>
      <c r="B515" t="s">
        <v>501</v>
      </c>
      <c r="C515" t="s">
        <v>22</v>
      </c>
      <c r="D515" t="s">
        <v>1960</v>
      </c>
      <c r="E515" t="s">
        <v>1961</v>
      </c>
      <c r="F515">
        <v>76</v>
      </c>
      <c r="G515">
        <v>8</v>
      </c>
      <c r="H515">
        <v>2</v>
      </c>
      <c r="I515" s="1">
        <v>9.5</v>
      </c>
      <c r="J515" s="2">
        <v>45569</v>
      </c>
      <c r="K515" s="2">
        <v>45604</v>
      </c>
      <c r="L515" s="2">
        <v>45440</v>
      </c>
      <c r="M515" t="s">
        <v>1962</v>
      </c>
      <c r="N515">
        <v>24</v>
      </c>
      <c r="O515">
        <v>53</v>
      </c>
      <c r="P515" t="s">
        <v>44</v>
      </c>
      <c r="Q515" t="str">
        <f t="shared" si="31"/>
        <v>Expiry before Received</v>
      </c>
      <c r="R515" s="3">
        <f t="shared" ref="R515:R578" si="33">F515*I515</f>
        <v>722</v>
      </c>
      <c r="S515">
        <f t="shared" si="32"/>
        <v>0</v>
      </c>
      <c r="T515" t="str">
        <f t="shared" ref="T515:T578" si="34">IF(F515&lt;G515,"Reorder Required","Sufficient Stock")</f>
        <v>Sufficient Stock</v>
      </c>
    </row>
    <row r="516" spans="1:20" x14ac:dyDescent="0.3">
      <c r="A516" t="s">
        <v>1963</v>
      </c>
      <c r="B516" t="s">
        <v>599</v>
      </c>
      <c r="C516" t="s">
        <v>58</v>
      </c>
      <c r="D516" t="s">
        <v>1964</v>
      </c>
      <c r="E516" t="s">
        <v>560</v>
      </c>
      <c r="F516">
        <v>96</v>
      </c>
      <c r="G516">
        <v>51</v>
      </c>
      <c r="H516">
        <v>40</v>
      </c>
      <c r="I516" s="1">
        <v>2.2999999999999998</v>
      </c>
      <c r="J516" s="2">
        <v>45367</v>
      </c>
      <c r="K516" s="2">
        <v>45416</v>
      </c>
      <c r="L516" s="2">
        <v>45622</v>
      </c>
      <c r="M516" t="s">
        <v>1965</v>
      </c>
      <c r="N516">
        <v>61</v>
      </c>
      <c r="O516">
        <v>4</v>
      </c>
      <c r="P516" t="s">
        <v>26</v>
      </c>
      <c r="Q516" t="str">
        <f t="shared" si="31"/>
        <v>OK</v>
      </c>
      <c r="R516" s="3">
        <f t="shared" si="33"/>
        <v>220.79999999999998</v>
      </c>
      <c r="S516">
        <f t="shared" si="32"/>
        <v>0</v>
      </c>
      <c r="T516" t="str">
        <f t="shared" si="34"/>
        <v>Sufficient Stock</v>
      </c>
    </row>
    <row r="517" spans="1:20" x14ac:dyDescent="0.3">
      <c r="A517" t="s">
        <v>1966</v>
      </c>
      <c r="B517" t="s">
        <v>599</v>
      </c>
      <c r="C517" t="s">
        <v>58</v>
      </c>
      <c r="D517" t="s">
        <v>1967</v>
      </c>
      <c r="E517" t="s">
        <v>1968</v>
      </c>
      <c r="F517">
        <v>69</v>
      </c>
      <c r="G517">
        <v>17</v>
      </c>
      <c r="H517">
        <v>27</v>
      </c>
      <c r="I517" s="1">
        <v>2.2999999999999998</v>
      </c>
      <c r="J517" s="2">
        <v>45671</v>
      </c>
      <c r="K517" s="2">
        <v>45461</v>
      </c>
      <c r="L517" s="2">
        <v>45441</v>
      </c>
      <c r="M517" t="s">
        <v>1969</v>
      </c>
      <c r="N517">
        <v>79</v>
      </c>
      <c r="O517">
        <v>75</v>
      </c>
      <c r="P517" t="s">
        <v>38</v>
      </c>
      <c r="Q517" t="str">
        <f t="shared" si="31"/>
        <v>Expiry before Received</v>
      </c>
      <c r="R517" s="3">
        <f t="shared" si="33"/>
        <v>158.69999999999999</v>
      </c>
      <c r="S517">
        <f t="shared" si="32"/>
        <v>0</v>
      </c>
      <c r="T517" t="str">
        <f t="shared" si="34"/>
        <v>Sufficient Stock</v>
      </c>
    </row>
    <row r="518" spans="1:20" x14ac:dyDescent="0.3">
      <c r="A518" t="s">
        <v>1970</v>
      </c>
      <c r="B518" t="s">
        <v>238</v>
      </c>
      <c r="C518" t="s">
        <v>64</v>
      </c>
      <c r="D518" t="s">
        <v>1971</v>
      </c>
      <c r="E518" t="s">
        <v>806</v>
      </c>
      <c r="F518">
        <v>48</v>
      </c>
      <c r="G518">
        <v>71</v>
      </c>
      <c r="H518">
        <v>86</v>
      </c>
      <c r="I518" s="1">
        <v>3</v>
      </c>
      <c r="J518" s="2">
        <v>45411</v>
      </c>
      <c r="K518" s="2">
        <v>45475</v>
      </c>
      <c r="L518" s="2">
        <v>45533</v>
      </c>
      <c r="M518" t="s">
        <v>1972</v>
      </c>
      <c r="N518">
        <v>95</v>
      </c>
      <c r="O518">
        <v>3</v>
      </c>
      <c r="P518" t="s">
        <v>26</v>
      </c>
      <c r="Q518" t="str">
        <f t="shared" si="31"/>
        <v>OK</v>
      </c>
      <c r="R518" s="3">
        <f t="shared" si="33"/>
        <v>144</v>
      </c>
      <c r="S518">
        <f t="shared" si="32"/>
        <v>23</v>
      </c>
      <c r="T518" t="str">
        <f t="shared" si="34"/>
        <v>Reorder Required</v>
      </c>
    </row>
    <row r="519" spans="1:20" x14ac:dyDescent="0.3">
      <c r="A519" t="s">
        <v>1973</v>
      </c>
      <c r="B519" t="s">
        <v>407</v>
      </c>
      <c r="C519" t="s">
        <v>64</v>
      </c>
      <c r="D519" t="s">
        <v>1974</v>
      </c>
      <c r="E519" t="s">
        <v>1975</v>
      </c>
      <c r="F519">
        <v>82</v>
      </c>
      <c r="G519">
        <v>3</v>
      </c>
      <c r="H519">
        <v>82</v>
      </c>
      <c r="I519" s="1">
        <v>2.4</v>
      </c>
      <c r="J519" s="2">
        <v>45568</v>
      </c>
      <c r="K519" s="2">
        <v>45636</v>
      </c>
      <c r="L519" s="2">
        <v>45530</v>
      </c>
      <c r="M519" t="s">
        <v>1976</v>
      </c>
      <c r="N519">
        <v>48</v>
      </c>
      <c r="O519">
        <v>31</v>
      </c>
      <c r="P519" t="s">
        <v>44</v>
      </c>
      <c r="Q519" t="str">
        <f t="shared" ref="Q519:Q582" si="35">IF(L519&lt;J519,"Expiry before Received",IF(K519&lt;J519,"Last Order before Received","OK"))</f>
        <v>Expiry before Received</v>
      </c>
      <c r="R519" s="3">
        <f t="shared" si="33"/>
        <v>196.79999999999998</v>
      </c>
      <c r="S519">
        <f t="shared" si="32"/>
        <v>0</v>
      </c>
      <c r="T519" t="str">
        <f t="shared" si="34"/>
        <v>Sufficient Stock</v>
      </c>
    </row>
    <row r="520" spans="1:20" x14ac:dyDescent="0.3">
      <c r="A520" t="s">
        <v>1977</v>
      </c>
      <c r="B520" t="s">
        <v>214</v>
      </c>
      <c r="C520" t="s">
        <v>47</v>
      </c>
      <c r="D520" t="s">
        <v>1978</v>
      </c>
      <c r="E520" t="s">
        <v>100</v>
      </c>
      <c r="F520">
        <v>43</v>
      </c>
      <c r="G520">
        <v>21</v>
      </c>
      <c r="H520">
        <v>31</v>
      </c>
      <c r="I520" s="1">
        <v>2.5</v>
      </c>
      <c r="J520" s="2">
        <v>45707</v>
      </c>
      <c r="K520" s="2">
        <v>45468</v>
      </c>
      <c r="L520" s="2">
        <v>45674</v>
      </c>
      <c r="M520" t="s">
        <v>1979</v>
      </c>
      <c r="N520">
        <v>22</v>
      </c>
      <c r="O520">
        <v>25</v>
      </c>
      <c r="P520" t="s">
        <v>38</v>
      </c>
      <c r="Q520" t="str">
        <f t="shared" si="35"/>
        <v>Expiry before Received</v>
      </c>
      <c r="R520" s="3">
        <f t="shared" si="33"/>
        <v>107.5</v>
      </c>
      <c r="S520">
        <f t="shared" si="32"/>
        <v>0</v>
      </c>
      <c r="T520" t="str">
        <f t="shared" si="34"/>
        <v>Sufficient Stock</v>
      </c>
    </row>
    <row r="521" spans="1:20" x14ac:dyDescent="0.3">
      <c r="A521" t="s">
        <v>1980</v>
      </c>
      <c r="B521" t="s">
        <v>286</v>
      </c>
      <c r="C521" t="s">
        <v>29</v>
      </c>
      <c r="D521" t="s">
        <v>1981</v>
      </c>
      <c r="E521" t="s">
        <v>939</v>
      </c>
      <c r="F521">
        <v>90</v>
      </c>
      <c r="G521">
        <v>68</v>
      </c>
      <c r="H521">
        <v>74</v>
      </c>
      <c r="I521" s="1">
        <v>12</v>
      </c>
      <c r="J521" s="2">
        <v>45384</v>
      </c>
      <c r="K521" s="2">
        <v>45622</v>
      </c>
      <c r="L521" s="2">
        <v>45595</v>
      </c>
      <c r="M521" t="s">
        <v>1982</v>
      </c>
      <c r="N521">
        <v>81</v>
      </c>
      <c r="O521">
        <v>26</v>
      </c>
      <c r="P521" t="s">
        <v>38</v>
      </c>
      <c r="Q521" t="str">
        <f t="shared" si="35"/>
        <v>OK</v>
      </c>
      <c r="R521" s="3">
        <f t="shared" si="33"/>
        <v>1080</v>
      </c>
      <c r="S521">
        <f t="shared" si="32"/>
        <v>0</v>
      </c>
      <c r="T521" t="str">
        <f t="shared" si="34"/>
        <v>Sufficient Stock</v>
      </c>
    </row>
    <row r="522" spans="1:20" x14ac:dyDescent="0.3">
      <c r="A522" t="s">
        <v>1983</v>
      </c>
      <c r="B522" t="s">
        <v>1099</v>
      </c>
      <c r="C522" t="s">
        <v>64</v>
      </c>
      <c r="D522" t="s">
        <v>1984</v>
      </c>
      <c r="E522" t="s">
        <v>1985</v>
      </c>
      <c r="F522">
        <v>13</v>
      </c>
      <c r="G522">
        <v>39</v>
      </c>
      <c r="H522">
        <v>98</v>
      </c>
      <c r="I522" s="1">
        <v>0.9</v>
      </c>
      <c r="J522" s="2">
        <v>45445</v>
      </c>
      <c r="K522" s="2">
        <v>45601</v>
      </c>
      <c r="L522" s="2">
        <v>45553</v>
      </c>
      <c r="M522" t="s">
        <v>1986</v>
      </c>
      <c r="N522">
        <v>46</v>
      </c>
      <c r="O522">
        <v>46</v>
      </c>
      <c r="P522" t="s">
        <v>38</v>
      </c>
      <c r="Q522" t="str">
        <f t="shared" si="35"/>
        <v>OK</v>
      </c>
      <c r="R522" s="3">
        <f t="shared" si="33"/>
        <v>11.700000000000001</v>
      </c>
      <c r="S522">
        <f t="shared" si="32"/>
        <v>26</v>
      </c>
      <c r="T522" t="str">
        <f t="shared" si="34"/>
        <v>Reorder Required</v>
      </c>
    </row>
    <row r="523" spans="1:20" x14ac:dyDescent="0.3">
      <c r="A523" t="s">
        <v>1987</v>
      </c>
      <c r="B523" t="s">
        <v>142</v>
      </c>
      <c r="C523" t="s">
        <v>47</v>
      </c>
      <c r="D523" t="s">
        <v>1988</v>
      </c>
      <c r="E523" t="s">
        <v>119</v>
      </c>
      <c r="F523">
        <v>62</v>
      </c>
      <c r="G523">
        <v>79</v>
      </c>
      <c r="H523">
        <v>95</v>
      </c>
      <c r="I523" s="1">
        <v>1</v>
      </c>
      <c r="J523" s="2">
        <v>45428</v>
      </c>
      <c r="K523" s="2">
        <v>45479</v>
      </c>
      <c r="L523" s="2">
        <v>45656</v>
      </c>
      <c r="M523" t="s">
        <v>1989</v>
      </c>
      <c r="N523">
        <v>34</v>
      </c>
      <c r="O523">
        <v>12</v>
      </c>
      <c r="P523" t="s">
        <v>44</v>
      </c>
      <c r="Q523" t="str">
        <f t="shared" si="35"/>
        <v>OK</v>
      </c>
      <c r="R523" s="3">
        <f t="shared" si="33"/>
        <v>62</v>
      </c>
      <c r="S523">
        <f t="shared" si="32"/>
        <v>17</v>
      </c>
      <c r="T523" t="str">
        <f t="shared" si="34"/>
        <v>Reorder Required</v>
      </c>
    </row>
    <row r="524" spans="1:20" x14ac:dyDescent="0.3">
      <c r="A524" t="s">
        <v>1990</v>
      </c>
      <c r="B524" t="s">
        <v>1264</v>
      </c>
      <c r="C524" t="s">
        <v>22</v>
      </c>
      <c r="D524" t="s">
        <v>1991</v>
      </c>
      <c r="E524" t="s">
        <v>1257</v>
      </c>
      <c r="F524">
        <v>17</v>
      </c>
      <c r="G524">
        <v>85</v>
      </c>
      <c r="H524">
        <v>74</v>
      </c>
      <c r="I524" s="1">
        <v>5</v>
      </c>
      <c r="J524" s="2">
        <v>45413</v>
      </c>
      <c r="K524" s="2">
        <v>45686</v>
      </c>
      <c r="L524" s="2">
        <v>45381</v>
      </c>
      <c r="M524" t="s">
        <v>1992</v>
      </c>
      <c r="N524">
        <v>76</v>
      </c>
      <c r="O524">
        <v>89</v>
      </c>
      <c r="P524" t="s">
        <v>44</v>
      </c>
      <c r="Q524" t="str">
        <f t="shared" si="35"/>
        <v>Expiry before Received</v>
      </c>
      <c r="R524" s="3">
        <f t="shared" si="33"/>
        <v>85</v>
      </c>
      <c r="S524">
        <f t="shared" si="32"/>
        <v>68</v>
      </c>
      <c r="T524" t="str">
        <f t="shared" si="34"/>
        <v>Reorder Required</v>
      </c>
    </row>
    <row r="525" spans="1:20" x14ac:dyDescent="0.3">
      <c r="A525" t="s">
        <v>1993</v>
      </c>
      <c r="B525" t="s">
        <v>737</v>
      </c>
      <c r="C525" t="s">
        <v>58</v>
      </c>
      <c r="D525" t="s">
        <v>1994</v>
      </c>
      <c r="E525" t="s">
        <v>1342</v>
      </c>
      <c r="F525">
        <v>100</v>
      </c>
      <c r="G525">
        <v>86</v>
      </c>
      <c r="H525">
        <v>94</v>
      </c>
      <c r="I525" s="1">
        <v>6.5</v>
      </c>
      <c r="J525" s="2">
        <v>45515</v>
      </c>
      <c r="K525" s="2">
        <v>45394</v>
      </c>
      <c r="L525" s="2">
        <v>45447</v>
      </c>
      <c r="M525" t="s">
        <v>1995</v>
      </c>
      <c r="N525">
        <v>77</v>
      </c>
      <c r="O525">
        <v>57</v>
      </c>
      <c r="P525" t="s">
        <v>44</v>
      </c>
      <c r="Q525" t="str">
        <f t="shared" si="35"/>
        <v>Expiry before Received</v>
      </c>
      <c r="R525" s="3">
        <f t="shared" si="33"/>
        <v>650</v>
      </c>
      <c r="S525">
        <f t="shared" si="32"/>
        <v>0</v>
      </c>
      <c r="T525" t="str">
        <f t="shared" si="34"/>
        <v>Sufficient Stock</v>
      </c>
    </row>
    <row r="526" spans="1:20" x14ac:dyDescent="0.3">
      <c r="A526" t="s">
        <v>1996</v>
      </c>
      <c r="B526" t="s">
        <v>52</v>
      </c>
      <c r="C526" t="s">
        <v>22</v>
      </c>
      <c r="D526" t="s">
        <v>1997</v>
      </c>
      <c r="E526" t="s">
        <v>1391</v>
      </c>
      <c r="F526">
        <v>54</v>
      </c>
      <c r="G526">
        <v>69</v>
      </c>
      <c r="H526">
        <v>68</v>
      </c>
      <c r="I526" s="1">
        <v>1.75</v>
      </c>
      <c r="J526" s="2">
        <v>45497</v>
      </c>
      <c r="K526" s="2">
        <v>45601</v>
      </c>
      <c r="L526" s="2">
        <v>45425</v>
      </c>
      <c r="M526" t="s">
        <v>1998</v>
      </c>
      <c r="N526">
        <v>77</v>
      </c>
      <c r="O526">
        <v>56</v>
      </c>
      <c r="P526" t="s">
        <v>26</v>
      </c>
      <c r="Q526" t="str">
        <f t="shared" si="35"/>
        <v>Expiry before Received</v>
      </c>
      <c r="R526" s="3">
        <f t="shared" si="33"/>
        <v>94.5</v>
      </c>
      <c r="S526">
        <f t="shared" si="32"/>
        <v>15</v>
      </c>
      <c r="T526" t="str">
        <f t="shared" si="34"/>
        <v>Reorder Required</v>
      </c>
    </row>
    <row r="527" spans="1:20" x14ac:dyDescent="0.3">
      <c r="A527" t="s">
        <v>1999</v>
      </c>
      <c r="B527" t="s">
        <v>496</v>
      </c>
      <c r="C527" t="s">
        <v>64</v>
      </c>
      <c r="D527" t="s">
        <v>2000</v>
      </c>
      <c r="E527" t="s">
        <v>725</v>
      </c>
      <c r="F527">
        <v>98</v>
      </c>
      <c r="G527">
        <v>24</v>
      </c>
      <c r="H527">
        <v>4</v>
      </c>
      <c r="I527" s="1">
        <v>4.0999999999999996</v>
      </c>
      <c r="J527" s="2">
        <v>45359</v>
      </c>
      <c r="K527" s="2">
        <v>45647</v>
      </c>
      <c r="L527" s="2">
        <v>45435</v>
      </c>
      <c r="M527" t="s">
        <v>2001</v>
      </c>
      <c r="N527">
        <v>89</v>
      </c>
      <c r="O527">
        <v>80</v>
      </c>
      <c r="P527" t="s">
        <v>44</v>
      </c>
      <c r="Q527" t="str">
        <f t="shared" si="35"/>
        <v>OK</v>
      </c>
      <c r="R527" s="3">
        <f t="shared" si="33"/>
        <v>401.79999999999995</v>
      </c>
      <c r="S527">
        <f t="shared" si="32"/>
        <v>0</v>
      </c>
      <c r="T527" t="str">
        <f t="shared" si="34"/>
        <v>Sufficient Stock</v>
      </c>
    </row>
    <row r="528" spans="1:20" x14ac:dyDescent="0.3">
      <c r="A528" t="s">
        <v>2002</v>
      </c>
      <c r="B528" t="s">
        <v>191</v>
      </c>
      <c r="C528" t="s">
        <v>29</v>
      </c>
      <c r="D528" t="s">
        <v>2003</v>
      </c>
      <c r="E528" t="s">
        <v>2004</v>
      </c>
      <c r="F528">
        <v>20</v>
      </c>
      <c r="G528">
        <v>9</v>
      </c>
      <c r="H528">
        <v>12</v>
      </c>
      <c r="I528" s="1">
        <v>30.5</v>
      </c>
      <c r="J528" s="2">
        <v>45469</v>
      </c>
      <c r="K528" s="2">
        <v>45710</v>
      </c>
      <c r="L528" s="2">
        <v>45367</v>
      </c>
      <c r="M528" t="s">
        <v>2005</v>
      </c>
      <c r="N528">
        <v>46</v>
      </c>
      <c r="O528">
        <v>32</v>
      </c>
      <c r="P528" t="s">
        <v>26</v>
      </c>
      <c r="Q528" t="str">
        <f t="shared" si="35"/>
        <v>Expiry before Received</v>
      </c>
      <c r="R528" s="3">
        <f t="shared" si="33"/>
        <v>610</v>
      </c>
      <c r="S528">
        <f t="shared" si="32"/>
        <v>0</v>
      </c>
      <c r="T528" t="str">
        <f t="shared" si="34"/>
        <v>Sufficient Stock</v>
      </c>
    </row>
    <row r="529" spans="1:20" x14ac:dyDescent="0.3">
      <c r="A529" t="s">
        <v>2006</v>
      </c>
      <c r="B529" t="s">
        <v>196</v>
      </c>
      <c r="C529" t="s">
        <v>132</v>
      </c>
      <c r="D529" t="s">
        <v>2007</v>
      </c>
      <c r="E529" t="s">
        <v>932</v>
      </c>
      <c r="F529">
        <v>43</v>
      </c>
      <c r="G529">
        <v>7</v>
      </c>
      <c r="H529">
        <v>63</v>
      </c>
      <c r="I529" s="1">
        <v>9</v>
      </c>
      <c r="J529" s="2">
        <v>45561</v>
      </c>
      <c r="K529" s="2">
        <v>45497</v>
      </c>
      <c r="L529" s="2">
        <v>45359</v>
      </c>
      <c r="M529" t="s">
        <v>2008</v>
      </c>
      <c r="N529">
        <v>66</v>
      </c>
      <c r="O529">
        <v>71</v>
      </c>
      <c r="P529" t="s">
        <v>44</v>
      </c>
      <c r="Q529" t="str">
        <f t="shared" si="35"/>
        <v>Expiry before Received</v>
      </c>
      <c r="R529" s="3">
        <f t="shared" si="33"/>
        <v>387</v>
      </c>
      <c r="S529">
        <f t="shared" si="32"/>
        <v>0</v>
      </c>
      <c r="T529" t="str">
        <f t="shared" si="34"/>
        <v>Sufficient Stock</v>
      </c>
    </row>
    <row r="530" spans="1:20" x14ac:dyDescent="0.3">
      <c r="A530" t="s">
        <v>2009</v>
      </c>
      <c r="B530" t="s">
        <v>286</v>
      </c>
      <c r="C530" t="s">
        <v>29</v>
      </c>
      <c r="D530" t="s">
        <v>2010</v>
      </c>
      <c r="E530" t="s">
        <v>421</v>
      </c>
      <c r="F530">
        <v>29</v>
      </c>
      <c r="G530">
        <v>91</v>
      </c>
      <c r="H530">
        <v>48</v>
      </c>
      <c r="I530" s="1">
        <v>12</v>
      </c>
      <c r="J530" s="2">
        <v>45570</v>
      </c>
      <c r="K530" s="2">
        <v>45483</v>
      </c>
      <c r="L530" s="2">
        <v>45520</v>
      </c>
      <c r="M530" t="s">
        <v>2011</v>
      </c>
      <c r="N530">
        <v>28</v>
      </c>
      <c r="O530">
        <v>40</v>
      </c>
      <c r="P530" t="s">
        <v>44</v>
      </c>
      <c r="Q530" t="str">
        <f t="shared" si="35"/>
        <v>Expiry before Received</v>
      </c>
      <c r="R530" s="3">
        <f t="shared" si="33"/>
        <v>348</v>
      </c>
      <c r="S530">
        <f t="shared" si="32"/>
        <v>62</v>
      </c>
      <c r="T530" t="str">
        <f t="shared" si="34"/>
        <v>Reorder Required</v>
      </c>
    </row>
    <row r="531" spans="1:20" x14ac:dyDescent="0.3">
      <c r="A531" t="s">
        <v>2012</v>
      </c>
      <c r="B531" t="s">
        <v>1125</v>
      </c>
      <c r="C531" t="s">
        <v>47</v>
      </c>
      <c r="D531" t="s">
        <v>2013</v>
      </c>
      <c r="E531" t="s">
        <v>638</v>
      </c>
      <c r="F531">
        <v>37</v>
      </c>
      <c r="G531">
        <v>45</v>
      </c>
      <c r="H531">
        <v>62</v>
      </c>
      <c r="I531" s="1">
        <v>5.5</v>
      </c>
      <c r="J531" s="2">
        <v>45634</v>
      </c>
      <c r="K531" s="2">
        <v>45669</v>
      </c>
      <c r="L531" s="2">
        <v>45402</v>
      </c>
      <c r="M531" t="s">
        <v>2014</v>
      </c>
      <c r="N531">
        <v>34</v>
      </c>
      <c r="O531">
        <v>23</v>
      </c>
      <c r="P531" t="s">
        <v>38</v>
      </c>
      <c r="Q531" t="str">
        <f t="shared" si="35"/>
        <v>Expiry before Received</v>
      </c>
      <c r="R531" s="3">
        <f t="shared" si="33"/>
        <v>203.5</v>
      </c>
      <c r="S531">
        <f t="shared" si="32"/>
        <v>8</v>
      </c>
      <c r="T531" t="str">
        <f t="shared" si="34"/>
        <v>Reorder Required</v>
      </c>
    </row>
    <row r="532" spans="1:20" x14ac:dyDescent="0.3">
      <c r="A532" t="s">
        <v>2015</v>
      </c>
      <c r="B532" t="s">
        <v>719</v>
      </c>
      <c r="C532" t="s">
        <v>64</v>
      </c>
      <c r="D532" t="s">
        <v>2016</v>
      </c>
      <c r="E532" t="s">
        <v>2017</v>
      </c>
      <c r="F532">
        <v>85</v>
      </c>
      <c r="G532">
        <v>28</v>
      </c>
      <c r="H532">
        <v>32</v>
      </c>
      <c r="I532" s="1">
        <v>8.9</v>
      </c>
      <c r="J532" s="2">
        <v>45674</v>
      </c>
      <c r="K532" s="2">
        <v>45468</v>
      </c>
      <c r="L532" s="2">
        <v>45685</v>
      </c>
      <c r="M532" t="s">
        <v>2018</v>
      </c>
      <c r="N532">
        <v>57</v>
      </c>
      <c r="O532">
        <v>41</v>
      </c>
      <c r="P532" t="s">
        <v>38</v>
      </c>
      <c r="Q532" t="str">
        <f t="shared" si="35"/>
        <v>Last Order before Received</v>
      </c>
      <c r="R532" s="3">
        <f t="shared" si="33"/>
        <v>756.5</v>
      </c>
      <c r="S532">
        <f t="shared" si="32"/>
        <v>0</v>
      </c>
      <c r="T532" t="str">
        <f t="shared" si="34"/>
        <v>Sufficient Stock</v>
      </c>
    </row>
    <row r="533" spans="1:20" x14ac:dyDescent="0.3">
      <c r="A533" t="s">
        <v>2019</v>
      </c>
      <c r="B533" t="s">
        <v>828</v>
      </c>
      <c r="C533" t="s">
        <v>22</v>
      </c>
      <c r="D533" t="s">
        <v>2020</v>
      </c>
      <c r="E533" t="s">
        <v>693</v>
      </c>
      <c r="F533">
        <v>26</v>
      </c>
      <c r="G533">
        <v>67</v>
      </c>
      <c r="H533">
        <v>46</v>
      </c>
      <c r="I533" s="1">
        <v>4.4000000000000004</v>
      </c>
      <c r="J533" s="2">
        <v>45634</v>
      </c>
      <c r="K533" s="2">
        <v>45547</v>
      </c>
      <c r="L533" s="2">
        <v>45386</v>
      </c>
      <c r="M533" t="s">
        <v>2021</v>
      </c>
      <c r="N533">
        <v>54</v>
      </c>
      <c r="O533">
        <v>46</v>
      </c>
      <c r="P533" t="s">
        <v>38</v>
      </c>
      <c r="Q533" t="str">
        <f t="shared" si="35"/>
        <v>Expiry before Received</v>
      </c>
      <c r="R533" s="3">
        <f t="shared" si="33"/>
        <v>114.4</v>
      </c>
      <c r="S533">
        <f t="shared" si="32"/>
        <v>41</v>
      </c>
      <c r="T533" t="str">
        <f t="shared" si="34"/>
        <v>Reorder Required</v>
      </c>
    </row>
    <row r="534" spans="1:20" x14ac:dyDescent="0.3">
      <c r="A534" t="s">
        <v>2022</v>
      </c>
      <c r="B534" t="s">
        <v>336</v>
      </c>
      <c r="C534" t="s">
        <v>29</v>
      </c>
      <c r="D534" t="s">
        <v>2023</v>
      </c>
      <c r="E534" t="s">
        <v>42</v>
      </c>
      <c r="F534">
        <v>91</v>
      </c>
      <c r="G534">
        <v>78</v>
      </c>
      <c r="H534">
        <v>61</v>
      </c>
      <c r="I534" s="1">
        <v>25</v>
      </c>
      <c r="J534" s="2">
        <v>45417</v>
      </c>
      <c r="K534" s="2">
        <v>45592</v>
      </c>
      <c r="L534" s="2">
        <v>45514</v>
      </c>
      <c r="M534" t="s">
        <v>2024</v>
      </c>
      <c r="N534">
        <v>63</v>
      </c>
      <c r="O534">
        <v>15</v>
      </c>
      <c r="P534" t="s">
        <v>38</v>
      </c>
      <c r="Q534" t="str">
        <f t="shared" si="35"/>
        <v>OK</v>
      </c>
      <c r="R534" s="3">
        <f t="shared" si="33"/>
        <v>2275</v>
      </c>
      <c r="S534">
        <f t="shared" si="32"/>
        <v>0</v>
      </c>
      <c r="T534" t="str">
        <f t="shared" si="34"/>
        <v>Sufficient Stock</v>
      </c>
    </row>
    <row r="535" spans="1:20" x14ac:dyDescent="0.3">
      <c r="A535" t="s">
        <v>2025</v>
      </c>
      <c r="B535" t="s">
        <v>328</v>
      </c>
      <c r="C535" t="s">
        <v>64</v>
      </c>
      <c r="D535" t="s">
        <v>2026</v>
      </c>
      <c r="E535" t="s">
        <v>662</v>
      </c>
      <c r="F535">
        <v>50</v>
      </c>
      <c r="G535">
        <v>46</v>
      </c>
      <c r="H535">
        <v>38</v>
      </c>
      <c r="I535" s="1">
        <v>6.2</v>
      </c>
      <c r="J535" s="2">
        <v>45566</v>
      </c>
      <c r="K535" s="2">
        <v>45476</v>
      </c>
      <c r="L535" s="2">
        <v>45504</v>
      </c>
      <c r="M535" t="s">
        <v>2027</v>
      </c>
      <c r="N535">
        <v>88</v>
      </c>
      <c r="O535">
        <v>70</v>
      </c>
      <c r="P535" t="s">
        <v>44</v>
      </c>
      <c r="Q535" t="str">
        <f t="shared" si="35"/>
        <v>Expiry before Received</v>
      </c>
      <c r="R535" s="3">
        <f t="shared" si="33"/>
        <v>310</v>
      </c>
      <c r="S535">
        <f t="shared" si="32"/>
        <v>0</v>
      </c>
      <c r="T535" t="str">
        <f t="shared" si="34"/>
        <v>Sufficient Stock</v>
      </c>
    </row>
    <row r="536" spans="1:20" x14ac:dyDescent="0.3">
      <c r="A536" t="s">
        <v>2028</v>
      </c>
      <c r="B536" t="s">
        <v>131</v>
      </c>
      <c r="C536" t="s">
        <v>132</v>
      </c>
      <c r="D536" t="s">
        <v>2029</v>
      </c>
      <c r="E536" t="s">
        <v>821</v>
      </c>
      <c r="F536">
        <v>98</v>
      </c>
      <c r="G536">
        <v>65</v>
      </c>
      <c r="H536">
        <v>76</v>
      </c>
      <c r="I536" s="1">
        <v>12</v>
      </c>
      <c r="J536" s="2">
        <v>45562</v>
      </c>
      <c r="K536" s="2">
        <v>45492</v>
      </c>
      <c r="L536" s="2">
        <v>45470</v>
      </c>
      <c r="M536" t="s">
        <v>2030</v>
      </c>
      <c r="N536">
        <v>62</v>
      </c>
      <c r="O536">
        <v>47</v>
      </c>
      <c r="P536" t="s">
        <v>44</v>
      </c>
      <c r="Q536" t="str">
        <f t="shared" si="35"/>
        <v>Expiry before Received</v>
      </c>
      <c r="R536" s="3">
        <f t="shared" si="33"/>
        <v>1176</v>
      </c>
      <c r="S536">
        <f t="shared" si="32"/>
        <v>0</v>
      </c>
      <c r="T536" t="str">
        <f t="shared" si="34"/>
        <v>Sufficient Stock</v>
      </c>
    </row>
    <row r="537" spans="1:20" x14ac:dyDescent="0.3">
      <c r="A537" t="s">
        <v>2031</v>
      </c>
      <c r="B537" t="s">
        <v>74</v>
      </c>
      <c r="C537" t="s">
        <v>64</v>
      </c>
      <c r="D537" t="s">
        <v>2032</v>
      </c>
      <c r="E537" t="s">
        <v>271</v>
      </c>
      <c r="F537">
        <v>37</v>
      </c>
      <c r="G537">
        <v>53</v>
      </c>
      <c r="H537">
        <v>61</v>
      </c>
      <c r="I537" s="1">
        <v>1</v>
      </c>
      <c r="J537" s="2">
        <v>45385</v>
      </c>
      <c r="K537" s="2">
        <v>45490</v>
      </c>
      <c r="L537" s="2">
        <v>45372</v>
      </c>
      <c r="M537" t="s">
        <v>2033</v>
      </c>
      <c r="N537">
        <v>90</v>
      </c>
      <c r="O537">
        <v>89</v>
      </c>
      <c r="P537" t="s">
        <v>38</v>
      </c>
      <c r="Q537" t="str">
        <f t="shared" si="35"/>
        <v>Expiry before Received</v>
      </c>
      <c r="R537" s="3">
        <f t="shared" si="33"/>
        <v>37</v>
      </c>
      <c r="S537">
        <f t="shared" si="32"/>
        <v>16</v>
      </c>
      <c r="T537" t="str">
        <f t="shared" si="34"/>
        <v>Reorder Required</v>
      </c>
    </row>
    <row r="538" spans="1:20" x14ac:dyDescent="0.3">
      <c r="A538" t="s">
        <v>2034</v>
      </c>
      <c r="B538" t="s">
        <v>282</v>
      </c>
      <c r="C538" t="s">
        <v>89</v>
      </c>
      <c r="D538" t="s">
        <v>2035</v>
      </c>
      <c r="E538" t="s">
        <v>753</v>
      </c>
      <c r="F538">
        <v>78</v>
      </c>
      <c r="G538">
        <v>68</v>
      </c>
      <c r="H538">
        <v>68</v>
      </c>
      <c r="I538" s="1">
        <v>2.5</v>
      </c>
      <c r="J538" s="2">
        <v>45547</v>
      </c>
      <c r="K538" s="2">
        <v>45356</v>
      </c>
      <c r="L538" s="2">
        <v>45651</v>
      </c>
      <c r="M538" t="s">
        <v>2036</v>
      </c>
      <c r="N538">
        <v>89</v>
      </c>
      <c r="O538">
        <v>24</v>
      </c>
      <c r="P538" t="s">
        <v>38</v>
      </c>
      <c r="Q538" t="str">
        <f t="shared" si="35"/>
        <v>Last Order before Received</v>
      </c>
      <c r="R538" s="3">
        <f t="shared" si="33"/>
        <v>195</v>
      </c>
      <c r="S538">
        <f t="shared" si="32"/>
        <v>0</v>
      </c>
      <c r="T538" t="str">
        <f t="shared" si="34"/>
        <v>Sufficient Stock</v>
      </c>
    </row>
    <row r="539" spans="1:20" x14ac:dyDescent="0.3">
      <c r="A539" t="s">
        <v>2037</v>
      </c>
      <c r="B539" t="s">
        <v>594</v>
      </c>
      <c r="C539" t="s">
        <v>47</v>
      </c>
      <c r="D539" t="s">
        <v>2038</v>
      </c>
      <c r="E539" t="s">
        <v>159</v>
      </c>
      <c r="F539">
        <v>48</v>
      </c>
      <c r="G539">
        <v>27</v>
      </c>
      <c r="H539">
        <v>73</v>
      </c>
      <c r="I539" s="1">
        <v>2.5499999999999998</v>
      </c>
      <c r="J539" s="2">
        <v>45670</v>
      </c>
      <c r="K539" s="2">
        <v>45394</v>
      </c>
      <c r="L539" s="2">
        <v>45442</v>
      </c>
      <c r="M539" t="s">
        <v>2039</v>
      </c>
      <c r="N539">
        <v>52</v>
      </c>
      <c r="O539">
        <v>97</v>
      </c>
      <c r="P539" t="s">
        <v>26</v>
      </c>
      <c r="Q539" t="str">
        <f t="shared" si="35"/>
        <v>Expiry before Received</v>
      </c>
      <c r="R539" s="3">
        <f t="shared" si="33"/>
        <v>122.39999999999999</v>
      </c>
      <c r="S539">
        <f t="shared" si="32"/>
        <v>0</v>
      </c>
      <c r="T539" t="str">
        <f t="shared" si="34"/>
        <v>Sufficient Stock</v>
      </c>
    </row>
    <row r="540" spans="1:20" x14ac:dyDescent="0.3">
      <c r="A540" t="s">
        <v>2040</v>
      </c>
      <c r="B540" t="s">
        <v>28</v>
      </c>
      <c r="C540" t="s">
        <v>29</v>
      </c>
      <c r="D540" t="s">
        <v>2041</v>
      </c>
      <c r="E540" t="s">
        <v>2042</v>
      </c>
      <c r="F540">
        <v>74</v>
      </c>
      <c r="G540">
        <v>10</v>
      </c>
      <c r="H540">
        <v>74</v>
      </c>
      <c r="I540" s="1">
        <v>20</v>
      </c>
      <c r="J540" s="2">
        <v>45500</v>
      </c>
      <c r="K540" s="2">
        <v>45567</v>
      </c>
      <c r="L540" s="2">
        <v>45371</v>
      </c>
      <c r="M540" t="s">
        <v>2043</v>
      </c>
      <c r="N540">
        <v>100</v>
      </c>
      <c r="O540">
        <v>66</v>
      </c>
      <c r="P540" t="s">
        <v>38</v>
      </c>
      <c r="Q540" t="str">
        <f t="shared" si="35"/>
        <v>Expiry before Received</v>
      </c>
      <c r="R540" s="3">
        <f t="shared" si="33"/>
        <v>1480</v>
      </c>
      <c r="S540">
        <f t="shared" si="32"/>
        <v>0</v>
      </c>
      <c r="T540" t="str">
        <f t="shared" si="34"/>
        <v>Sufficient Stock</v>
      </c>
    </row>
    <row r="541" spans="1:20" x14ac:dyDescent="0.3">
      <c r="A541" t="s">
        <v>2044</v>
      </c>
      <c r="B541" t="s">
        <v>181</v>
      </c>
      <c r="C541" t="s">
        <v>47</v>
      </c>
      <c r="D541" t="s">
        <v>2045</v>
      </c>
      <c r="E541" t="s">
        <v>1093</v>
      </c>
      <c r="F541">
        <v>18</v>
      </c>
      <c r="G541">
        <v>7</v>
      </c>
      <c r="H541">
        <v>58</v>
      </c>
      <c r="I541" s="1">
        <v>3.5</v>
      </c>
      <c r="J541" s="2">
        <v>45622</v>
      </c>
      <c r="K541" s="2">
        <v>45509</v>
      </c>
      <c r="L541" s="2">
        <v>45469</v>
      </c>
      <c r="M541" t="s">
        <v>2046</v>
      </c>
      <c r="N541">
        <v>88</v>
      </c>
      <c r="O541">
        <v>96</v>
      </c>
      <c r="P541" t="s">
        <v>26</v>
      </c>
      <c r="Q541" t="str">
        <f t="shared" si="35"/>
        <v>Expiry before Received</v>
      </c>
      <c r="R541" s="3">
        <f t="shared" si="33"/>
        <v>63</v>
      </c>
      <c r="S541">
        <f t="shared" si="32"/>
        <v>0</v>
      </c>
      <c r="T541" t="str">
        <f t="shared" si="34"/>
        <v>Sufficient Stock</v>
      </c>
    </row>
    <row r="542" spans="1:20" x14ac:dyDescent="0.3">
      <c r="A542" t="s">
        <v>2047</v>
      </c>
      <c r="B542" t="s">
        <v>594</v>
      </c>
      <c r="C542" t="s">
        <v>47</v>
      </c>
      <c r="D542" t="s">
        <v>2048</v>
      </c>
      <c r="E542" t="s">
        <v>485</v>
      </c>
      <c r="F542">
        <v>95</v>
      </c>
      <c r="G542">
        <v>66</v>
      </c>
      <c r="H542">
        <v>69</v>
      </c>
      <c r="I542" s="1">
        <v>2.48</v>
      </c>
      <c r="J542" s="2">
        <v>45451</v>
      </c>
      <c r="K542" s="2">
        <v>45379</v>
      </c>
      <c r="L542" s="2">
        <v>45692</v>
      </c>
      <c r="M542" t="s">
        <v>2049</v>
      </c>
      <c r="N542">
        <v>92</v>
      </c>
      <c r="O542">
        <v>72</v>
      </c>
      <c r="P542" t="s">
        <v>38</v>
      </c>
      <c r="Q542" t="str">
        <f t="shared" si="35"/>
        <v>Last Order before Received</v>
      </c>
      <c r="R542" s="3">
        <f t="shared" si="33"/>
        <v>235.6</v>
      </c>
      <c r="S542">
        <f t="shared" si="32"/>
        <v>0</v>
      </c>
      <c r="T542" t="str">
        <f t="shared" si="34"/>
        <v>Sufficient Stock</v>
      </c>
    </row>
    <row r="543" spans="1:20" x14ac:dyDescent="0.3">
      <c r="A543" t="s">
        <v>2050</v>
      </c>
      <c r="B543" t="s">
        <v>728</v>
      </c>
      <c r="C543" t="s">
        <v>64</v>
      </c>
      <c r="D543" t="s">
        <v>2051</v>
      </c>
      <c r="E543" t="s">
        <v>1115</v>
      </c>
      <c r="F543">
        <v>39</v>
      </c>
      <c r="G543">
        <v>93</v>
      </c>
      <c r="H543">
        <v>57</v>
      </c>
      <c r="I543" s="1">
        <v>2.5</v>
      </c>
      <c r="J543" s="2">
        <v>45447</v>
      </c>
      <c r="K543" s="2">
        <v>45440</v>
      </c>
      <c r="L543" s="2">
        <v>45660</v>
      </c>
      <c r="M543" t="s">
        <v>2052</v>
      </c>
      <c r="N543">
        <v>26</v>
      </c>
      <c r="O543">
        <v>44</v>
      </c>
      <c r="P543" t="s">
        <v>38</v>
      </c>
      <c r="Q543" t="str">
        <f t="shared" si="35"/>
        <v>Last Order before Received</v>
      </c>
      <c r="R543" s="3">
        <f t="shared" si="33"/>
        <v>97.5</v>
      </c>
      <c r="S543">
        <f t="shared" si="32"/>
        <v>54</v>
      </c>
      <c r="T543" t="str">
        <f t="shared" si="34"/>
        <v>Reorder Required</v>
      </c>
    </row>
    <row r="544" spans="1:20" x14ac:dyDescent="0.3">
      <c r="A544" t="s">
        <v>2053</v>
      </c>
      <c r="B544" t="s">
        <v>402</v>
      </c>
      <c r="C544" t="s">
        <v>47</v>
      </c>
      <c r="D544" t="s">
        <v>2054</v>
      </c>
      <c r="E544" t="s">
        <v>2055</v>
      </c>
      <c r="F544">
        <v>48</v>
      </c>
      <c r="G544">
        <v>72</v>
      </c>
      <c r="H544">
        <v>55</v>
      </c>
      <c r="I544" s="1">
        <v>3</v>
      </c>
      <c r="J544" s="2">
        <v>45553</v>
      </c>
      <c r="K544" s="2">
        <v>45424</v>
      </c>
      <c r="L544" s="2">
        <v>45473</v>
      </c>
      <c r="M544" t="s">
        <v>2056</v>
      </c>
      <c r="N544">
        <v>51</v>
      </c>
      <c r="O544">
        <v>41</v>
      </c>
      <c r="P544" t="s">
        <v>44</v>
      </c>
      <c r="Q544" t="str">
        <f t="shared" si="35"/>
        <v>Expiry before Received</v>
      </c>
      <c r="R544" s="3">
        <f t="shared" si="33"/>
        <v>144</v>
      </c>
      <c r="S544">
        <f t="shared" si="32"/>
        <v>24</v>
      </c>
      <c r="T544" t="str">
        <f t="shared" si="34"/>
        <v>Reorder Required</v>
      </c>
    </row>
    <row r="545" spans="1:20" x14ac:dyDescent="0.3">
      <c r="A545" t="s">
        <v>2057</v>
      </c>
      <c r="B545" t="s">
        <v>98</v>
      </c>
      <c r="C545" t="s">
        <v>47</v>
      </c>
      <c r="D545" t="s">
        <v>2058</v>
      </c>
      <c r="E545" t="s">
        <v>765</v>
      </c>
      <c r="F545">
        <v>58</v>
      </c>
      <c r="G545">
        <v>15</v>
      </c>
      <c r="H545">
        <v>87</v>
      </c>
      <c r="I545" s="1">
        <v>5.9</v>
      </c>
      <c r="J545" s="2">
        <v>45483</v>
      </c>
      <c r="K545" s="2">
        <v>45473</v>
      </c>
      <c r="L545" s="2">
        <v>45502</v>
      </c>
      <c r="M545" t="s">
        <v>2059</v>
      </c>
      <c r="N545">
        <v>52</v>
      </c>
      <c r="O545">
        <v>81</v>
      </c>
      <c r="P545" t="s">
        <v>38</v>
      </c>
      <c r="Q545" t="str">
        <f t="shared" si="35"/>
        <v>Last Order before Received</v>
      </c>
      <c r="R545" s="3">
        <f t="shared" si="33"/>
        <v>342.20000000000005</v>
      </c>
      <c r="S545">
        <f t="shared" si="32"/>
        <v>0</v>
      </c>
      <c r="T545" t="str">
        <f t="shared" si="34"/>
        <v>Sufficient Stock</v>
      </c>
    </row>
    <row r="546" spans="1:20" x14ac:dyDescent="0.3">
      <c r="A546" t="s">
        <v>2060</v>
      </c>
      <c r="B546" t="s">
        <v>69</v>
      </c>
      <c r="C546" t="s">
        <v>64</v>
      </c>
      <c r="D546" t="s">
        <v>2061</v>
      </c>
      <c r="E546" t="s">
        <v>596</v>
      </c>
      <c r="F546">
        <v>39</v>
      </c>
      <c r="G546">
        <v>55</v>
      </c>
      <c r="H546">
        <v>39</v>
      </c>
      <c r="I546" s="1">
        <v>3</v>
      </c>
      <c r="J546" s="2">
        <v>45519</v>
      </c>
      <c r="K546" s="2">
        <v>45480</v>
      </c>
      <c r="L546" s="2">
        <v>45463</v>
      </c>
      <c r="M546" t="s">
        <v>2062</v>
      </c>
      <c r="N546">
        <v>47</v>
      </c>
      <c r="O546">
        <v>59</v>
      </c>
      <c r="P546" t="s">
        <v>38</v>
      </c>
      <c r="Q546" t="str">
        <f t="shared" si="35"/>
        <v>Expiry before Received</v>
      </c>
      <c r="R546" s="3">
        <f t="shared" si="33"/>
        <v>117</v>
      </c>
      <c r="S546">
        <f t="shared" si="32"/>
        <v>16</v>
      </c>
      <c r="T546" t="str">
        <f t="shared" si="34"/>
        <v>Reorder Required</v>
      </c>
    </row>
    <row r="547" spans="1:20" x14ac:dyDescent="0.3">
      <c r="A547" t="s">
        <v>2063</v>
      </c>
      <c r="B547" t="s">
        <v>1205</v>
      </c>
      <c r="C547" t="s">
        <v>47</v>
      </c>
      <c r="D547" t="s">
        <v>2064</v>
      </c>
      <c r="E547" t="s">
        <v>304</v>
      </c>
      <c r="F547">
        <v>84</v>
      </c>
      <c r="G547">
        <v>28</v>
      </c>
      <c r="H547">
        <v>29</v>
      </c>
      <c r="I547" s="1">
        <v>4.4000000000000004</v>
      </c>
      <c r="J547" s="2">
        <v>45697</v>
      </c>
      <c r="K547" s="2">
        <v>45703</v>
      </c>
      <c r="L547" s="2">
        <v>45640</v>
      </c>
      <c r="M547" t="s">
        <v>2065</v>
      </c>
      <c r="N547">
        <v>54</v>
      </c>
      <c r="O547">
        <v>32</v>
      </c>
      <c r="P547" t="s">
        <v>26</v>
      </c>
      <c r="Q547" t="str">
        <f t="shared" si="35"/>
        <v>Expiry before Received</v>
      </c>
      <c r="R547" s="3">
        <f t="shared" si="33"/>
        <v>369.6</v>
      </c>
      <c r="S547">
        <f t="shared" si="32"/>
        <v>0</v>
      </c>
      <c r="T547" t="str">
        <f t="shared" si="34"/>
        <v>Sufficient Stock</v>
      </c>
    </row>
    <row r="548" spans="1:20" x14ac:dyDescent="0.3">
      <c r="A548" t="s">
        <v>2066</v>
      </c>
      <c r="B548" t="s">
        <v>302</v>
      </c>
      <c r="C548" t="s">
        <v>132</v>
      </c>
      <c r="D548" t="s">
        <v>2067</v>
      </c>
      <c r="E548" t="s">
        <v>207</v>
      </c>
      <c r="F548">
        <v>30</v>
      </c>
      <c r="G548">
        <v>55</v>
      </c>
      <c r="H548">
        <v>4</v>
      </c>
      <c r="I548" s="1">
        <v>6</v>
      </c>
      <c r="J548" s="2">
        <v>45529</v>
      </c>
      <c r="K548" s="2">
        <v>45501</v>
      </c>
      <c r="L548" s="2">
        <v>45688</v>
      </c>
      <c r="M548" t="s">
        <v>2068</v>
      </c>
      <c r="N548">
        <v>56</v>
      </c>
      <c r="O548">
        <v>31</v>
      </c>
      <c r="P548" t="s">
        <v>44</v>
      </c>
      <c r="Q548" t="str">
        <f t="shared" si="35"/>
        <v>Last Order before Received</v>
      </c>
      <c r="R548" s="3">
        <f t="shared" si="33"/>
        <v>180</v>
      </c>
      <c r="S548">
        <f t="shared" si="32"/>
        <v>25</v>
      </c>
      <c r="T548" t="str">
        <f t="shared" si="34"/>
        <v>Reorder Required</v>
      </c>
    </row>
    <row r="549" spans="1:20" x14ac:dyDescent="0.3">
      <c r="A549" t="s">
        <v>2069</v>
      </c>
      <c r="B549" t="s">
        <v>737</v>
      </c>
      <c r="C549" t="s">
        <v>58</v>
      </c>
      <c r="D549" t="s">
        <v>2070</v>
      </c>
      <c r="E549" t="s">
        <v>716</v>
      </c>
      <c r="F549">
        <v>14</v>
      </c>
      <c r="G549">
        <v>84</v>
      </c>
      <c r="H549">
        <v>15</v>
      </c>
      <c r="I549" s="1">
        <v>6.5</v>
      </c>
      <c r="J549" s="2">
        <v>45685</v>
      </c>
      <c r="K549" s="2">
        <v>45695</v>
      </c>
      <c r="L549" s="2">
        <v>45638</v>
      </c>
      <c r="M549" t="s">
        <v>2071</v>
      </c>
      <c r="N549">
        <v>51</v>
      </c>
      <c r="O549">
        <v>73</v>
      </c>
      <c r="P549" t="s">
        <v>44</v>
      </c>
      <c r="Q549" t="str">
        <f t="shared" si="35"/>
        <v>Expiry before Received</v>
      </c>
      <c r="R549" s="3">
        <f t="shared" si="33"/>
        <v>91</v>
      </c>
      <c r="S549">
        <f t="shared" si="32"/>
        <v>70</v>
      </c>
      <c r="T549" t="str">
        <f t="shared" si="34"/>
        <v>Reorder Required</v>
      </c>
    </row>
    <row r="550" spans="1:20" x14ac:dyDescent="0.3">
      <c r="A550" t="s">
        <v>2072</v>
      </c>
      <c r="B550" t="s">
        <v>687</v>
      </c>
      <c r="C550" t="s">
        <v>22</v>
      </c>
      <c r="D550" t="s">
        <v>2073</v>
      </c>
      <c r="E550" t="s">
        <v>693</v>
      </c>
      <c r="F550">
        <v>21</v>
      </c>
      <c r="G550">
        <v>15</v>
      </c>
      <c r="H550">
        <v>27</v>
      </c>
      <c r="I550" s="1">
        <v>2.5</v>
      </c>
      <c r="J550" s="2">
        <v>45693</v>
      </c>
      <c r="K550" s="2">
        <v>45576</v>
      </c>
      <c r="L550" s="2">
        <v>45512</v>
      </c>
      <c r="M550" t="s">
        <v>2074</v>
      </c>
      <c r="N550">
        <v>37</v>
      </c>
      <c r="O550">
        <v>41</v>
      </c>
      <c r="P550" t="s">
        <v>44</v>
      </c>
      <c r="Q550" t="str">
        <f t="shared" si="35"/>
        <v>Expiry before Received</v>
      </c>
      <c r="R550" s="3">
        <f t="shared" si="33"/>
        <v>52.5</v>
      </c>
      <c r="S550">
        <f t="shared" si="32"/>
        <v>0</v>
      </c>
      <c r="T550" t="str">
        <f t="shared" si="34"/>
        <v>Sufficient Stock</v>
      </c>
    </row>
    <row r="551" spans="1:20" x14ac:dyDescent="0.3">
      <c r="A551" t="s">
        <v>2075</v>
      </c>
      <c r="B551" t="s">
        <v>467</v>
      </c>
      <c r="C551" t="s">
        <v>22</v>
      </c>
      <c r="D551" t="s">
        <v>2076</v>
      </c>
      <c r="E551" t="s">
        <v>2077</v>
      </c>
      <c r="F551">
        <v>17</v>
      </c>
      <c r="G551">
        <v>19</v>
      </c>
      <c r="H551">
        <v>74</v>
      </c>
      <c r="I551" s="1">
        <v>4.75</v>
      </c>
      <c r="J551" s="2">
        <v>45569</v>
      </c>
      <c r="K551" s="2">
        <v>45634</v>
      </c>
      <c r="L551" s="2">
        <v>45496</v>
      </c>
      <c r="M551" t="s">
        <v>2078</v>
      </c>
      <c r="N551">
        <v>58</v>
      </c>
      <c r="O551">
        <v>27</v>
      </c>
      <c r="P551" t="s">
        <v>26</v>
      </c>
      <c r="Q551" t="str">
        <f t="shared" si="35"/>
        <v>Expiry before Received</v>
      </c>
      <c r="R551" s="3">
        <f t="shared" si="33"/>
        <v>80.75</v>
      </c>
      <c r="S551">
        <f t="shared" si="32"/>
        <v>2</v>
      </c>
      <c r="T551" t="str">
        <f t="shared" si="34"/>
        <v>Reorder Required</v>
      </c>
    </row>
    <row r="552" spans="1:20" x14ac:dyDescent="0.3">
      <c r="A552" t="s">
        <v>2079</v>
      </c>
      <c r="B552" t="s">
        <v>594</v>
      </c>
      <c r="C552" t="s">
        <v>47</v>
      </c>
      <c r="D552" t="s">
        <v>2080</v>
      </c>
      <c r="E552" t="s">
        <v>432</v>
      </c>
      <c r="F552">
        <v>34</v>
      </c>
      <c r="G552">
        <v>92</v>
      </c>
      <c r="H552">
        <v>26</v>
      </c>
      <c r="I552" s="1">
        <v>2.5</v>
      </c>
      <c r="J552" s="2">
        <v>45536</v>
      </c>
      <c r="K552" s="2">
        <v>45392</v>
      </c>
      <c r="L552" s="2">
        <v>45653</v>
      </c>
      <c r="M552" t="s">
        <v>2081</v>
      </c>
      <c r="N552">
        <v>28</v>
      </c>
      <c r="O552">
        <v>71</v>
      </c>
      <c r="P552" t="s">
        <v>44</v>
      </c>
      <c r="Q552" t="str">
        <f t="shared" si="35"/>
        <v>Last Order before Received</v>
      </c>
      <c r="R552" s="3">
        <f t="shared" si="33"/>
        <v>85</v>
      </c>
      <c r="S552">
        <f t="shared" si="32"/>
        <v>58</v>
      </c>
      <c r="T552" t="str">
        <f t="shared" si="34"/>
        <v>Reorder Required</v>
      </c>
    </row>
    <row r="553" spans="1:20" x14ac:dyDescent="0.3">
      <c r="A553" t="s">
        <v>2082</v>
      </c>
      <c r="B553" t="s">
        <v>467</v>
      </c>
      <c r="C553" t="s">
        <v>22</v>
      </c>
      <c r="D553" t="s">
        <v>2083</v>
      </c>
      <c r="E553" t="s">
        <v>100</v>
      </c>
      <c r="F553">
        <v>56</v>
      </c>
      <c r="G553">
        <v>48</v>
      </c>
      <c r="H553">
        <v>82</v>
      </c>
      <c r="I553" s="1">
        <v>4.75</v>
      </c>
      <c r="J553" s="2">
        <v>45583</v>
      </c>
      <c r="K553" s="2">
        <v>45647</v>
      </c>
      <c r="L553" s="2">
        <v>45668</v>
      </c>
      <c r="M553" t="s">
        <v>2084</v>
      </c>
      <c r="N553">
        <v>71</v>
      </c>
      <c r="O553">
        <v>65</v>
      </c>
      <c r="P553" t="s">
        <v>38</v>
      </c>
      <c r="Q553" t="str">
        <f t="shared" si="35"/>
        <v>OK</v>
      </c>
      <c r="R553" s="3">
        <f t="shared" si="33"/>
        <v>266</v>
      </c>
      <c r="S553">
        <f t="shared" si="32"/>
        <v>0</v>
      </c>
      <c r="T553" t="str">
        <f t="shared" si="34"/>
        <v>Sufficient Stock</v>
      </c>
    </row>
    <row r="554" spans="1:20" x14ac:dyDescent="0.3">
      <c r="A554" t="s">
        <v>2085</v>
      </c>
      <c r="B554" t="s">
        <v>46</v>
      </c>
      <c r="C554" t="s">
        <v>47</v>
      </c>
      <c r="D554" t="s">
        <v>2086</v>
      </c>
      <c r="E554" t="s">
        <v>1773</v>
      </c>
      <c r="F554">
        <v>64</v>
      </c>
      <c r="G554">
        <v>71</v>
      </c>
      <c r="H554">
        <v>69</v>
      </c>
      <c r="I554" s="1">
        <v>3.9</v>
      </c>
      <c r="J554" s="2">
        <v>45575</v>
      </c>
      <c r="K554" s="2">
        <v>45457</v>
      </c>
      <c r="L554" s="2">
        <v>45575</v>
      </c>
      <c r="M554" t="s">
        <v>2087</v>
      </c>
      <c r="N554">
        <v>60</v>
      </c>
      <c r="O554">
        <v>67</v>
      </c>
      <c r="P554" t="s">
        <v>44</v>
      </c>
      <c r="Q554" t="str">
        <f t="shared" si="35"/>
        <v>Last Order before Received</v>
      </c>
      <c r="R554" s="3">
        <f t="shared" si="33"/>
        <v>249.6</v>
      </c>
      <c r="S554">
        <f t="shared" si="32"/>
        <v>7</v>
      </c>
      <c r="T554" t="str">
        <f t="shared" si="34"/>
        <v>Reorder Required</v>
      </c>
    </row>
    <row r="555" spans="1:20" x14ac:dyDescent="0.3">
      <c r="A555" t="s">
        <v>2088</v>
      </c>
      <c r="B555" t="s">
        <v>1125</v>
      </c>
      <c r="C555" t="s">
        <v>47</v>
      </c>
      <c r="D555" t="s">
        <v>2089</v>
      </c>
      <c r="E555" t="s">
        <v>1279</v>
      </c>
      <c r="F555">
        <v>87</v>
      </c>
      <c r="G555">
        <v>62</v>
      </c>
      <c r="H555">
        <v>2</v>
      </c>
      <c r="I555" s="1">
        <v>5.5</v>
      </c>
      <c r="J555" s="2">
        <v>45482</v>
      </c>
      <c r="K555" s="2">
        <v>45376</v>
      </c>
      <c r="L555" s="2">
        <v>45565</v>
      </c>
      <c r="M555" t="s">
        <v>2090</v>
      </c>
      <c r="N555">
        <v>22</v>
      </c>
      <c r="O555">
        <v>38</v>
      </c>
      <c r="P555" t="s">
        <v>38</v>
      </c>
      <c r="Q555" t="str">
        <f t="shared" si="35"/>
        <v>Last Order before Received</v>
      </c>
      <c r="R555" s="3">
        <f t="shared" si="33"/>
        <v>478.5</v>
      </c>
      <c r="S555">
        <f t="shared" si="32"/>
        <v>0</v>
      </c>
      <c r="T555" t="str">
        <f t="shared" si="34"/>
        <v>Sufficient Stock</v>
      </c>
    </row>
    <row r="556" spans="1:20" x14ac:dyDescent="0.3">
      <c r="A556" t="s">
        <v>2091</v>
      </c>
      <c r="B556" t="s">
        <v>1205</v>
      </c>
      <c r="C556" t="s">
        <v>47</v>
      </c>
      <c r="D556" t="s">
        <v>2092</v>
      </c>
      <c r="E556" t="s">
        <v>288</v>
      </c>
      <c r="F556">
        <v>24</v>
      </c>
      <c r="G556">
        <v>25</v>
      </c>
      <c r="H556">
        <v>52</v>
      </c>
      <c r="I556" s="1">
        <v>4.5</v>
      </c>
      <c r="J556" s="2">
        <v>45437</v>
      </c>
      <c r="K556" s="2">
        <v>45435</v>
      </c>
      <c r="L556" s="2">
        <v>45552</v>
      </c>
      <c r="M556" t="s">
        <v>2093</v>
      </c>
      <c r="N556">
        <v>24</v>
      </c>
      <c r="O556">
        <v>77</v>
      </c>
      <c r="P556" t="s">
        <v>38</v>
      </c>
      <c r="Q556" t="str">
        <f t="shared" si="35"/>
        <v>Last Order before Received</v>
      </c>
      <c r="R556" s="3">
        <f t="shared" si="33"/>
        <v>108</v>
      </c>
      <c r="S556">
        <f t="shared" si="32"/>
        <v>1</v>
      </c>
      <c r="T556" t="str">
        <f t="shared" si="34"/>
        <v>Reorder Required</v>
      </c>
    </row>
    <row r="557" spans="1:20" x14ac:dyDescent="0.3">
      <c r="A557" t="s">
        <v>2094</v>
      </c>
      <c r="B557" t="s">
        <v>21</v>
      </c>
      <c r="C557" t="s">
        <v>22</v>
      </c>
      <c r="D557" t="s">
        <v>2095</v>
      </c>
      <c r="E557" t="s">
        <v>485</v>
      </c>
      <c r="F557">
        <v>47</v>
      </c>
      <c r="G557">
        <v>1</v>
      </c>
      <c r="H557">
        <v>60</v>
      </c>
      <c r="I557" s="1">
        <v>4.2</v>
      </c>
      <c r="J557" s="2">
        <v>45686</v>
      </c>
      <c r="K557" s="2">
        <v>45431</v>
      </c>
      <c r="L557" s="2">
        <v>45400</v>
      </c>
      <c r="M557" t="s">
        <v>2096</v>
      </c>
      <c r="N557">
        <v>32</v>
      </c>
      <c r="O557">
        <v>87</v>
      </c>
      <c r="P557" t="s">
        <v>26</v>
      </c>
      <c r="Q557" t="str">
        <f t="shared" si="35"/>
        <v>Expiry before Received</v>
      </c>
      <c r="R557" s="3">
        <f t="shared" si="33"/>
        <v>197.4</v>
      </c>
      <c r="S557">
        <f t="shared" si="32"/>
        <v>0</v>
      </c>
      <c r="T557" t="str">
        <f t="shared" si="34"/>
        <v>Sufficient Stock</v>
      </c>
    </row>
    <row r="558" spans="1:20" x14ac:dyDescent="0.3">
      <c r="A558" t="s">
        <v>2097</v>
      </c>
      <c r="B558" t="s">
        <v>983</v>
      </c>
      <c r="C558" t="s">
        <v>89</v>
      </c>
      <c r="D558" t="s">
        <v>2098</v>
      </c>
      <c r="E558" t="s">
        <v>907</v>
      </c>
      <c r="F558">
        <v>61</v>
      </c>
      <c r="G558">
        <v>8</v>
      </c>
      <c r="H558">
        <v>45</v>
      </c>
      <c r="I558" s="1">
        <v>4</v>
      </c>
      <c r="J558" s="2">
        <v>45463</v>
      </c>
      <c r="K558" s="2">
        <v>45562</v>
      </c>
      <c r="L558" s="2">
        <v>45552</v>
      </c>
      <c r="M558" t="s">
        <v>2099</v>
      </c>
      <c r="N558">
        <v>73</v>
      </c>
      <c r="O558">
        <v>64</v>
      </c>
      <c r="P558" t="s">
        <v>26</v>
      </c>
      <c r="Q558" t="str">
        <f t="shared" si="35"/>
        <v>OK</v>
      </c>
      <c r="R558" s="3">
        <f t="shared" si="33"/>
        <v>244</v>
      </c>
      <c r="S558">
        <f t="shared" si="32"/>
        <v>0</v>
      </c>
      <c r="T558" t="str">
        <f t="shared" si="34"/>
        <v>Sufficient Stock</v>
      </c>
    </row>
    <row r="559" spans="1:20" x14ac:dyDescent="0.3">
      <c r="A559" t="s">
        <v>2100</v>
      </c>
      <c r="B559" t="s">
        <v>88</v>
      </c>
      <c r="C559" t="s">
        <v>89</v>
      </c>
      <c r="D559" t="s">
        <v>2101</v>
      </c>
      <c r="E559" t="s">
        <v>351</v>
      </c>
      <c r="F559">
        <v>48</v>
      </c>
      <c r="G559">
        <v>2</v>
      </c>
      <c r="H559">
        <v>16</v>
      </c>
      <c r="I559" s="1">
        <v>2.8</v>
      </c>
      <c r="J559" s="2">
        <v>45377</v>
      </c>
      <c r="K559" s="2">
        <v>45620</v>
      </c>
      <c r="L559" s="2">
        <v>45451</v>
      </c>
      <c r="M559" t="s">
        <v>2102</v>
      </c>
      <c r="N559">
        <v>27</v>
      </c>
      <c r="O559">
        <v>1</v>
      </c>
      <c r="P559" t="s">
        <v>26</v>
      </c>
      <c r="Q559" t="str">
        <f t="shared" si="35"/>
        <v>OK</v>
      </c>
      <c r="R559" s="3">
        <f t="shared" si="33"/>
        <v>134.39999999999998</v>
      </c>
      <c r="S559">
        <f t="shared" si="32"/>
        <v>0</v>
      </c>
      <c r="T559" t="str">
        <f t="shared" si="34"/>
        <v>Sufficient Stock</v>
      </c>
    </row>
    <row r="560" spans="1:20" x14ac:dyDescent="0.3">
      <c r="A560" t="s">
        <v>2103</v>
      </c>
      <c r="B560" t="s">
        <v>445</v>
      </c>
      <c r="C560" t="s">
        <v>89</v>
      </c>
      <c r="D560" t="s">
        <v>2104</v>
      </c>
      <c r="E560" t="s">
        <v>421</v>
      </c>
      <c r="F560">
        <v>37</v>
      </c>
      <c r="G560">
        <v>96</v>
      </c>
      <c r="H560">
        <v>82</v>
      </c>
      <c r="I560" s="1">
        <v>5</v>
      </c>
      <c r="J560" s="2">
        <v>45571</v>
      </c>
      <c r="K560" s="2">
        <v>45671</v>
      </c>
      <c r="L560" s="2">
        <v>45632</v>
      </c>
      <c r="M560" t="s">
        <v>2105</v>
      </c>
      <c r="N560">
        <v>35</v>
      </c>
      <c r="O560">
        <v>23</v>
      </c>
      <c r="P560" t="s">
        <v>38</v>
      </c>
      <c r="Q560" t="str">
        <f t="shared" si="35"/>
        <v>OK</v>
      </c>
      <c r="R560" s="3">
        <f t="shared" si="33"/>
        <v>185</v>
      </c>
      <c r="S560">
        <f t="shared" si="32"/>
        <v>59</v>
      </c>
      <c r="T560" t="str">
        <f t="shared" si="34"/>
        <v>Reorder Required</v>
      </c>
    </row>
    <row r="561" spans="1:20" x14ac:dyDescent="0.3">
      <c r="A561" t="s">
        <v>2106</v>
      </c>
      <c r="B561" t="s">
        <v>28</v>
      </c>
      <c r="C561" t="s">
        <v>29</v>
      </c>
      <c r="D561" t="s">
        <v>2107</v>
      </c>
      <c r="E561" t="s">
        <v>1588</v>
      </c>
      <c r="F561">
        <v>45</v>
      </c>
      <c r="G561">
        <v>36</v>
      </c>
      <c r="H561">
        <v>97</v>
      </c>
      <c r="I561" s="1">
        <v>20</v>
      </c>
      <c r="J561" s="2">
        <v>45653</v>
      </c>
      <c r="K561" s="2">
        <v>45438</v>
      </c>
      <c r="L561" s="2">
        <v>45682</v>
      </c>
      <c r="M561" t="s">
        <v>2108</v>
      </c>
      <c r="N561">
        <v>36</v>
      </c>
      <c r="O561">
        <v>6</v>
      </c>
      <c r="P561" t="s">
        <v>44</v>
      </c>
      <c r="Q561" t="str">
        <f t="shared" si="35"/>
        <v>Last Order before Received</v>
      </c>
      <c r="R561" s="3">
        <f t="shared" si="33"/>
        <v>900</v>
      </c>
      <c r="S561">
        <f t="shared" si="32"/>
        <v>0</v>
      </c>
      <c r="T561" t="str">
        <f t="shared" si="34"/>
        <v>Sufficient Stock</v>
      </c>
    </row>
    <row r="562" spans="1:20" x14ac:dyDescent="0.3">
      <c r="A562" t="s">
        <v>2109</v>
      </c>
      <c r="B562" t="s">
        <v>108</v>
      </c>
      <c r="C562" t="s">
        <v>22</v>
      </c>
      <c r="D562" t="s">
        <v>2110</v>
      </c>
      <c r="E562" t="s">
        <v>848</v>
      </c>
      <c r="F562">
        <v>87</v>
      </c>
      <c r="G562">
        <v>97</v>
      </c>
      <c r="H562">
        <v>28</v>
      </c>
      <c r="I562" s="1">
        <v>1.5</v>
      </c>
      <c r="J562" s="2">
        <v>45455</v>
      </c>
      <c r="K562" s="2">
        <v>45558</v>
      </c>
      <c r="L562" s="2">
        <v>45400</v>
      </c>
      <c r="M562" t="s">
        <v>2111</v>
      </c>
      <c r="N562">
        <v>58</v>
      </c>
      <c r="O562">
        <v>21</v>
      </c>
      <c r="P562" t="s">
        <v>44</v>
      </c>
      <c r="Q562" t="str">
        <f t="shared" si="35"/>
        <v>Expiry before Received</v>
      </c>
      <c r="R562" s="3">
        <f t="shared" si="33"/>
        <v>130.5</v>
      </c>
      <c r="S562">
        <f t="shared" si="32"/>
        <v>10</v>
      </c>
      <c r="T562" t="str">
        <f t="shared" si="34"/>
        <v>Reorder Required</v>
      </c>
    </row>
    <row r="563" spans="1:20" x14ac:dyDescent="0.3">
      <c r="A563" t="s">
        <v>2112</v>
      </c>
      <c r="B563" t="s">
        <v>501</v>
      </c>
      <c r="C563" t="s">
        <v>22</v>
      </c>
      <c r="D563" t="s">
        <v>2113</v>
      </c>
      <c r="E563" t="s">
        <v>830</v>
      </c>
      <c r="F563">
        <v>37</v>
      </c>
      <c r="G563">
        <v>47</v>
      </c>
      <c r="H563">
        <v>34</v>
      </c>
      <c r="I563" s="1">
        <v>9.5</v>
      </c>
      <c r="J563" s="2">
        <v>45503</v>
      </c>
      <c r="K563" s="2">
        <v>45596</v>
      </c>
      <c r="L563" s="2">
        <v>45493</v>
      </c>
      <c r="M563" t="s">
        <v>2114</v>
      </c>
      <c r="N563">
        <v>38</v>
      </c>
      <c r="O563">
        <v>89</v>
      </c>
      <c r="P563" t="s">
        <v>38</v>
      </c>
      <c r="Q563" t="str">
        <f t="shared" si="35"/>
        <v>Expiry before Received</v>
      </c>
      <c r="R563" s="3">
        <f t="shared" si="33"/>
        <v>351.5</v>
      </c>
      <c r="S563">
        <f t="shared" si="32"/>
        <v>10</v>
      </c>
      <c r="T563" t="str">
        <f t="shared" si="34"/>
        <v>Reorder Required</v>
      </c>
    </row>
    <row r="564" spans="1:20" x14ac:dyDescent="0.3">
      <c r="A564" t="s">
        <v>2115</v>
      </c>
      <c r="B564" t="s">
        <v>775</v>
      </c>
      <c r="C564" t="s">
        <v>29</v>
      </c>
      <c r="D564" t="s">
        <v>2116</v>
      </c>
      <c r="E564" t="s">
        <v>271</v>
      </c>
      <c r="F564">
        <v>59</v>
      </c>
      <c r="G564">
        <v>62</v>
      </c>
      <c r="H564">
        <v>57</v>
      </c>
      <c r="I564" s="1">
        <v>10.3</v>
      </c>
      <c r="J564" s="2">
        <v>45546</v>
      </c>
      <c r="K564" s="2">
        <v>45489</v>
      </c>
      <c r="L564" s="2">
        <v>45347</v>
      </c>
      <c r="M564" t="s">
        <v>2117</v>
      </c>
      <c r="N564">
        <v>90</v>
      </c>
      <c r="O564">
        <v>94</v>
      </c>
      <c r="P564" t="s">
        <v>38</v>
      </c>
      <c r="Q564" t="str">
        <f t="shared" si="35"/>
        <v>Expiry before Received</v>
      </c>
      <c r="R564" s="3">
        <f t="shared" si="33"/>
        <v>607.70000000000005</v>
      </c>
      <c r="S564">
        <f t="shared" si="32"/>
        <v>3</v>
      </c>
      <c r="T564" t="str">
        <f t="shared" si="34"/>
        <v>Reorder Required</v>
      </c>
    </row>
    <row r="565" spans="1:20" x14ac:dyDescent="0.3">
      <c r="A565" t="s">
        <v>2118</v>
      </c>
      <c r="B565" t="s">
        <v>545</v>
      </c>
      <c r="C565" t="s">
        <v>47</v>
      </c>
      <c r="D565" t="s">
        <v>2119</v>
      </c>
      <c r="E565" t="s">
        <v>2120</v>
      </c>
      <c r="F565">
        <v>62</v>
      </c>
      <c r="G565">
        <v>40</v>
      </c>
      <c r="H565">
        <v>86</v>
      </c>
      <c r="I565" s="1">
        <v>6</v>
      </c>
      <c r="J565" s="2">
        <v>45488</v>
      </c>
      <c r="K565" s="2">
        <v>45612</v>
      </c>
      <c r="L565" s="2">
        <v>45448</v>
      </c>
      <c r="M565" t="s">
        <v>2121</v>
      </c>
      <c r="N565">
        <v>45</v>
      </c>
      <c r="O565">
        <v>86</v>
      </c>
      <c r="P565" t="s">
        <v>38</v>
      </c>
      <c r="Q565" t="str">
        <f t="shared" si="35"/>
        <v>Expiry before Received</v>
      </c>
      <c r="R565" s="3">
        <f t="shared" si="33"/>
        <v>372</v>
      </c>
      <c r="S565">
        <f t="shared" si="32"/>
        <v>0</v>
      </c>
      <c r="T565" t="str">
        <f t="shared" si="34"/>
        <v>Sufficient Stock</v>
      </c>
    </row>
    <row r="566" spans="1:20" x14ac:dyDescent="0.3">
      <c r="A566" t="s">
        <v>2122</v>
      </c>
      <c r="B566" t="s">
        <v>1218</v>
      </c>
      <c r="C566" t="s">
        <v>64</v>
      </c>
      <c r="D566" t="s">
        <v>2123</v>
      </c>
      <c r="E566" t="s">
        <v>1605</v>
      </c>
      <c r="F566">
        <v>63</v>
      </c>
      <c r="G566">
        <v>12</v>
      </c>
      <c r="H566">
        <v>82</v>
      </c>
      <c r="I566" s="1">
        <v>1.7</v>
      </c>
      <c r="J566" s="2">
        <v>45558</v>
      </c>
      <c r="K566" s="2">
        <v>45474</v>
      </c>
      <c r="L566" s="2">
        <v>45435</v>
      </c>
      <c r="M566" t="s">
        <v>2124</v>
      </c>
      <c r="N566">
        <v>56</v>
      </c>
      <c r="O566">
        <v>31</v>
      </c>
      <c r="P566" t="s">
        <v>38</v>
      </c>
      <c r="Q566" t="str">
        <f t="shared" si="35"/>
        <v>Expiry before Received</v>
      </c>
      <c r="R566" s="3">
        <f t="shared" si="33"/>
        <v>107.1</v>
      </c>
      <c r="S566">
        <f t="shared" si="32"/>
        <v>0</v>
      </c>
      <c r="T566" t="str">
        <f t="shared" si="34"/>
        <v>Sufficient Stock</v>
      </c>
    </row>
    <row r="567" spans="1:20" x14ac:dyDescent="0.3">
      <c r="A567" t="s">
        <v>2125</v>
      </c>
      <c r="B567" t="s">
        <v>1125</v>
      </c>
      <c r="C567" t="s">
        <v>47</v>
      </c>
      <c r="D567" t="s">
        <v>2126</v>
      </c>
      <c r="E567" t="s">
        <v>231</v>
      </c>
      <c r="F567">
        <v>38</v>
      </c>
      <c r="G567">
        <v>72</v>
      </c>
      <c r="H567">
        <v>39</v>
      </c>
      <c r="I567" s="1">
        <v>5.5</v>
      </c>
      <c r="J567" s="2">
        <v>45483</v>
      </c>
      <c r="K567" s="2">
        <v>45467</v>
      </c>
      <c r="L567" s="2">
        <v>45575</v>
      </c>
      <c r="M567" t="s">
        <v>2127</v>
      </c>
      <c r="N567">
        <v>59</v>
      </c>
      <c r="O567">
        <v>8</v>
      </c>
      <c r="P567" t="s">
        <v>44</v>
      </c>
      <c r="Q567" t="str">
        <f t="shared" si="35"/>
        <v>Last Order before Received</v>
      </c>
      <c r="R567" s="3">
        <f t="shared" si="33"/>
        <v>209</v>
      </c>
      <c r="S567">
        <f t="shared" si="32"/>
        <v>34</v>
      </c>
      <c r="T567" t="str">
        <f t="shared" si="34"/>
        <v>Reorder Required</v>
      </c>
    </row>
    <row r="568" spans="1:20" x14ac:dyDescent="0.3">
      <c r="A568" t="s">
        <v>2128</v>
      </c>
      <c r="B568" t="s">
        <v>1042</v>
      </c>
      <c r="C568" t="s">
        <v>132</v>
      </c>
      <c r="D568" t="s">
        <v>2129</v>
      </c>
      <c r="E568" t="s">
        <v>2130</v>
      </c>
      <c r="F568">
        <v>76</v>
      </c>
      <c r="G568">
        <v>21</v>
      </c>
      <c r="H568">
        <v>3</v>
      </c>
      <c r="I568" s="1">
        <v>7.5</v>
      </c>
      <c r="J568" s="2">
        <v>45678</v>
      </c>
      <c r="K568" s="2">
        <v>45514</v>
      </c>
      <c r="L568" s="2">
        <v>45365</v>
      </c>
      <c r="M568" t="s">
        <v>2131</v>
      </c>
      <c r="N568">
        <v>31</v>
      </c>
      <c r="O568">
        <v>47</v>
      </c>
      <c r="P568" t="s">
        <v>26</v>
      </c>
      <c r="Q568" t="str">
        <f t="shared" si="35"/>
        <v>Expiry before Received</v>
      </c>
      <c r="R568" s="3">
        <f t="shared" si="33"/>
        <v>570</v>
      </c>
      <c r="S568">
        <f t="shared" si="32"/>
        <v>0</v>
      </c>
      <c r="T568" t="str">
        <f t="shared" si="34"/>
        <v>Sufficient Stock</v>
      </c>
    </row>
    <row r="569" spans="1:20" x14ac:dyDescent="0.3">
      <c r="A569" t="s">
        <v>2132</v>
      </c>
      <c r="B569" t="s">
        <v>157</v>
      </c>
      <c r="C569" t="s">
        <v>64</v>
      </c>
      <c r="D569" t="s">
        <v>2133</v>
      </c>
      <c r="E569" t="s">
        <v>662</v>
      </c>
      <c r="F569">
        <v>34</v>
      </c>
      <c r="G569">
        <v>94</v>
      </c>
      <c r="H569">
        <v>69</v>
      </c>
      <c r="I569" s="1">
        <v>0.8</v>
      </c>
      <c r="J569" s="2">
        <v>45660</v>
      </c>
      <c r="K569" s="2">
        <v>45363</v>
      </c>
      <c r="L569" s="2">
        <v>45490</v>
      </c>
      <c r="M569" t="s">
        <v>2134</v>
      </c>
      <c r="N569">
        <v>96</v>
      </c>
      <c r="O569">
        <v>30</v>
      </c>
      <c r="P569" t="s">
        <v>38</v>
      </c>
      <c r="Q569" t="str">
        <f t="shared" si="35"/>
        <v>Expiry before Received</v>
      </c>
      <c r="R569" s="3">
        <f t="shared" si="33"/>
        <v>27.200000000000003</v>
      </c>
      <c r="S569">
        <f t="shared" si="32"/>
        <v>60</v>
      </c>
      <c r="T569" t="str">
        <f t="shared" si="34"/>
        <v>Reorder Required</v>
      </c>
    </row>
    <row r="570" spans="1:20" x14ac:dyDescent="0.3">
      <c r="A570" t="s">
        <v>2135</v>
      </c>
      <c r="B570" t="s">
        <v>354</v>
      </c>
      <c r="C570" t="s">
        <v>47</v>
      </c>
      <c r="D570" t="s">
        <v>2136</v>
      </c>
      <c r="E570" t="s">
        <v>2137</v>
      </c>
      <c r="F570">
        <v>25</v>
      </c>
      <c r="G570">
        <v>62</v>
      </c>
      <c r="H570">
        <v>11</v>
      </c>
      <c r="I570" s="1">
        <v>3</v>
      </c>
      <c r="J570" s="2">
        <v>45566</v>
      </c>
      <c r="K570" s="2">
        <v>45627</v>
      </c>
      <c r="L570" s="2">
        <v>45542</v>
      </c>
      <c r="M570" t="s">
        <v>2138</v>
      </c>
      <c r="N570">
        <v>57</v>
      </c>
      <c r="O570">
        <v>98</v>
      </c>
      <c r="P570" t="s">
        <v>38</v>
      </c>
      <c r="Q570" t="str">
        <f t="shared" si="35"/>
        <v>Expiry before Received</v>
      </c>
      <c r="R570" s="3">
        <f t="shared" si="33"/>
        <v>75</v>
      </c>
      <c r="S570">
        <f t="shared" si="32"/>
        <v>37</v>
      </c>
      <c r="T570" t="str">
        <f t="shared" si="34"/>
        <v>Reorder Required</v>
      </c>
    </row>
    <row r="571" spans="1:20" x14ac:dyDescent="0.3">
      <c r="A571" t="s">
        <v>2139</v>
      </c>
      <c r="B571" t="s">
        <v>728</v>
      </c>
      <c r="C571" t="s">
        <v>64</v>
      </c>
      <c r="D571" t="s">
        <v>2140</v>
      </c>
      <c r="E571" t="s">
        <v>2141</v>
      </c>
      <c r="F571">
        <v>86</v>
      </c>
      <c r="G571">
        <v>16</v>
      </c>
      <c r="H571">
        <v>37</v>
      </c>
      <c r="I571" s="1">
        <v>2.5</v>
      </c>
      <c r="J571" s="2">
        <v>45378</v>
      </c>
      <c r="K571" s="2">
        <v>45421</v>
      </c>
      <c r="L571" s="2">
        <v>45646</v>
      </c>
      <c r="M571" t="s">
        <v>2142</v>
      </c>
      <c r="N571">
        <v>34</v>
      </c>
      <c r="O571">
        <v>66</v>
      </c>
      <c r="P571" t="s">
        <v>44</v>
      </c>
      <c r="Q571" t="str">
        <f t="shared" si="35"/>
        <v>OK</v>
      </c>
      <c r="R571" s="3">
        <f t="shared" si="33"/>
        <v>215</v>
      </c>
      <c r="S571">
        <f t="shared" si="32"/>
        <v>0</v>
      </c>
      <c r="T571" t="str">
        <f t="shared" si="34"/>
        <v>Sufficient Stock</v>
      </c>
    </row>
    <row r="572" spans="1:20" x14ac:dyDescent="0.3">
      <c r="A572" t="s">
        <v>2143</v>
      </c>
      <c r="B572" t="s">
        <v>167</v>
      </c>
      <c r="C572" t="s">
        <v>89</v>
      </c>
      <c r="D572" t="s">
        <v>2144</v>
      </c>
      <c r="E572" t="s">
        <v>1673</v>
      </c>
      <c r="F572">
        <v>41</v>
      </c>
      <c r="G572">
        <v>21</v>
      </c>
      <c r="H572">
        <v>47</v>
      </c>
      <c r="I572" s="1">
        <v>5</v>
      </c>
      <c r="J572" s="2">
        <v>45358</v>
      </c>
      <c r="K572" s="2">
        <v>45658</v>
      </c>
      <c r="L572" s="2">
        <v>45408</v>
      </c>
      <c r="M572" t="s">
        <v>2145</v>
      </c>
      <c r="N572">
        <v>50</v>
      </c>
      <c r="O572">
        <v>99</v>
      </c>
      <c r="P572" t="s">
        <v>44</v>
      </c>
      <c r="Q572" t="str">
        <f t="shared" si="35"/>
        <v>OK</v>
      </c>
      <c r="R572" s="3">
        <f t="shared" si="33"/>
        <v>205</v>
      </c>
      <c r="S572">
        <f t="shared" si="32"/>
        <v>0</v>
      </c>
      <c r="T572" t="str">
        <f t="shared" si="34"/>
        <v>Sufficient Stock</v>
      </c>
    </row>
    <row r="573" spans="1:20" x14ac:dyDescent="0.3">
      <c r="A573" t="s">
        <v>2146</v>
      </c>
      <c r="B573" t="s">
        <v>594</v>
      </c>
      <c r="C573" t="s">
        <v>47</v>
      </c>
      <c r="D573" t="s">
        <v>2147</v>
      </c>
      <c r="E573" t="s">
        <v>2148</v>
      </c>
      <c r="F573">
        <v>77</v>
      </c>
      <c r="G573">
        <v>54</v>
      </c>
      <c r="H573">
        <v>10</v>
      </c>
      <c r="I573" s="1">
        <v>2.5</v>
      </c>
      <c r="J573" s="2">
        <v>45500</v>
      </c>
      <c r="K573" s="2">
        <v>45567</v>
      </c>
      <c r="L573" s="2">
        <v>45648</v>
      </c>
      <c r="M573" t="s">
        <v>2149</v>
      </c>
      <c r="N573">
        <v>64</v>
      </c>
      <c r="O573">
        <v>73</v>
      </c>
      <c r="P573" t="s">
        <v>44</v>
      </c>
      <c r="Q573" t="str">
        <f t="shared" si="35"/>
        <v>OK</v>
      </c>
      <c r="R573" s="3">
        <f t="shared" si="33"/>
        <v>192.5</v>
      </c>
      <c r="S573">
        <f t="shared" si="32"/>
        <v>0</v>
      </c>
      <c r="T573" t="str">
        <f t="shared" si="34"/>
        <v>Sufficient Stock</v>
      </c>
    </row>
    <row r="574" spans="1:20" x14ac:dyDescent="0.3">
      <c r="A574" t="s">
        <v>2150</v>
      </c>
      <c r="B574" t="s">
        <v>74</v>
      </c>
      <c r="C574" t="s">
        <v>64</v>
      </c>
      <c r="D574" t="s">
        <v>2151</v>
      </c>
      <c r="E574" t="s">
        <v>2004</v>
      </c>
      <c r="F574">
        <v>41</v>
      </c>
      <c r="G574">
        <v>61</v>
      </c>
      <c r="H574">
        <v>69</v>
      </c>
      <c r="I574" s="1">
        <v>1</v>
      </c>
      <c r="J574" s="2">
        <v>45499</v>
      </c>
      <c r="K574" s="2">
        <v>45691</v>
      </c>
      <c r="L574" s="2">
        <v>45500</v>
      </c>
      <c r="M574" t="s">
        <v>2152</v>
      </c>
      <c r="N574">
        <v>30</v>
      </c>
      <c r="O574">
        <v>100</v>
      </c>
      <c r="P574" t="s">
        <v>26</v>
      </c>
      <c r="Q574" t="str">
        <f t="shared" si="35"/>
        <v>OK</v>
      </c>
      <c r="R574" s="3">
        <f t="shared" si="33"/>
        <v>41</v>
      </c>
      <c r="S574">
        <f t="shared" si="32"/>
        <v>20</v>
      </c>
      <c r="T574" t="str">
        <f t="shared" si="34"/>
        <v>Reorder Required</v>
      </c>
    </row>
    <row r="575" spans="1:20" x14ac:dyDescent="0.3">
      <c r="A575" t="s">
        <v>2153</v>
      </c>
      <c r="B575" t="s">
        <v>274</v>
      </c>
      <c r="C575" t="s">
        <v>47</v>
      </c>
      <c r="D575" t="s">
        <v>2154</v>
      </c>
      <c r="E575" t="s">
        <v>409</v>
      </c>
      <c r="F575">
        <v>44</v>
      </c>
      <c r="G575">
        <v>8</v>
      </c>
      <c r="H575">
        <v>52</v>
      </c>
      <c r="I575" s="1">
        <v>2.95</v>
      </c>
      <c r="J575" s="2">
        <v>45423</v>
      </c>
      <c r="K575" s="2">
        <v>45636</v>
      </c>
      <c r="L575" s="2">
        <v>45508</v>
      </c>
      <c r="M575" t="s">
        <v>2155</v>
      </c>
      <c r="N575">
        <v>42</v>
      </c>
      <c r="O575">
        <v>66</v>
      </c>
      <c r="P575" t="s">
        <v>44</v>
      </c>
      <c r="Q575" t="str">
        <f t="shared" si="35"/>
        <v>OK</v>
      </c>
      <c r="R575" s="3">
        <f t="shared" si="33"/>
        <v>129.80000000000001</v>
      </c>
      <c r="S575">
        <f t="shared" si="32"/>
        <v>0</v>
      </c>
      <c r="T575" t="str">
        <f t="shared" si="34"/>
        <v>Sufficient Stock</v>
      </c>
    </row>
    <row r="576" spans="1:20" x14ac:dyDescent="0.3">
      <c r="A576" t="s">
        <v>2156</v>
      </c>
      <c r="B576" t="s">
        <v>603</v>
      </c>
      <c r="C576" t="s">
        <v>58</v>
      </c>
      <c r="D576" t="s">
        <v>2157</v>
      </c>
      <c r="E576" t="s">
        <v>1700</v>
      </c>
      <c r="F576">
        <v>53</v>
      </c>
      <c r="G576">
        <v>89</v>
      </c>
      <c r="H576">
        <v>100</v>
      </c>
      <c r="I576" s="1">
        <v>10</v>
      </c>
      <c r="J576" s="2">
        <v>45474</v>
      </c>
      <c r="K576" s="2">
        <v>45388</v>
      </c>
      <c r="L576" s="2">
        <v>45571</v>
      </c>
      <c r="M576" t="s">
        <v>2158</v>
      </c>
      <c r="N576">
        <v>22</v>
      </c>
      <c r="O576">
        <v>83</v>
      </c>
      <c r="P576" t="s">
        <v>38</v>
      </c>
      <c r="Q576" t="str">
        <f t="shared" si="35"/>
        <v>Last Order before Received</v>
      </c>
      <c r="R576" s="3">
        <f t="shared" si="33"/>
        <v>530</v>
      </c>
      <c r="S576">
        <f t="shared" si="32"/>
        <v>36</v>
      </c>
      <c r="T576" t="str">
        <f t="shared" si="34"/>
        <v>Reorder Required</v>
      </c>
    </row>
    <row r="577" spans="1:20" x14ac:dyDescent="0.3">
      <c r="A577" t="s">
        <v>2159</v>
      </c>
      <c r="B577" t="s">
        <v>445</v>
      </c>
      <c r="C577" t="s">
        <v>89</v>
      </c>
      <c r="D577" t="s">
        <v>2160</v>
      </c>
      <c r="E577" t="s">
        <v>144</v>
      </c>
      <c r="F577">
        <v>68</v>
      </c>
      <c r="G577">
        <v>29</v>
      </c>
      <c r="H577">
        <v>100</v>
      </c>
      <c r="I577" s="1">
        <v>5</v>
      </c>
      <c r="J577" s="2">
        <v>45609</v>
      </c>
      <c r="K577" s="2">
        <v>45562</v>
      </c>
      <c r="L577" s="2">
        <v>45489</v>
      </c>
      <c r="M577" t="s">
        <v>2161</v>
      </c>
      <c r="N577">
        <v>70</v>
      </c>
      <c r="O577">
        <v>26</v>
      </c>
      <c r="P577" t="s">
        <v>38</v>
      </c>
      <c r="Q577" t="str">
        <f t="shared" si="35"/>
        <v>Expiry before Received</v>
      </c>
      <c r="R577" s="3">
        <f t="shared" si="33"/>
        <v>340</v>
      </c>
      <c r="S577">
        <f t="shared" si="32"/>
        <v>0</v>
      </c>
      <c r="T577" t="str">
        <f t="shared" si="34"/>
        <v>Sufficient Stock</v>
      </c>
    </row>
    <row r="578" spans="1:20" x14ac:dyDescent="0.3">
      <c r="A578" t="s">
        <v>2162</v>
      </c>
      <c r="B578" t="s">
        <v>113</v>
      </c>
      <c r="C578" t="s">
        <v>64</v>
      </c>
      <c r="D578" t="s">
        <v>2163</v>
      </c>
      <c r="E578" t="s">
        <v>591</v>
      </c>
      <c r="F578">
        <v>96</v>
      </c>
      <c r="G578">
        <v>34</v>
      </c>
      <c r="H578">
        <v>57</v>
      </c>
      <c r="I578" s="1">
        <v>8</v>
      </c>
      <c r="J578" s="2">
        <v>45619</v>
      </c>
      <c r="K578" s="2">
        <v>45585</v>
      </c>
      <c r="L578" s="2">
        <v>45462</v>
      </c>
      <c r="M578" t="s">
        <v>2164</v>
      </c>
      <c r="N578">
        <v>71</v>
      </c>
      <c r="O578">
        <v>17</v>
      </c>
      <c r="P578" t="s">
        <v>26</v>
      </c>
      <c r="Q578" t="str">
        <f t="shared" si="35"/>
        <v>Expiry before Received</v>
      </c>
      <c r="R578" s="3">
        <f t="shared" si="33"/>
        <v>768</v>
      </c>
      <c r="S578">
        <f t="shared" ref="S578:S641" si="36">MAX(0,G578-F578)</f>
        <v>0</v>
      </c>
      <c r="T578" t="str">
        <f t="shared" si="34"/>
        <v>Sufficient Stock</v>
      </c>
    </row>
    <row r="579" spans="1:20" x14ac:dyDescent="0.3">
      <c r="A579" t="s">
        <v>2165</v>
      </c>
      <c r="B579" t="s">
        <v>463</v>
      </c>
      <c r="C579" t="s">
        <v>47</v>
      </c>
      <c r="D579" t="s">
        <v>2166</v>
      </c>
      <c r="E579" t="s">
        <v>231</v>
      </c>
      <c r="F579">
        <v>33</v>
      </c>
      <c r="G579">
        <v>4</v>
      </c>
      <c r="H579">
        <v>31</v>
      </c>
      <c r="I579" s="1">
        <v>7</v>
      </c>
      <c r="J579" s="2">
        <v>45364</v>
      </c>
      <c r="K579" s="2">
        <v>45669</v>
      </c>
      <c r="L579" s="2">
        <v>45457</v>
      </c>
      <c r="M579" t="s">
        <v>2167</v>
      </c>
      <c r="N579">
        <v>46</v>
      </c>
      <c r="O579">
        <v>92</v>
      </c>
      <c r="P579" t="s">
        <v>44</v>
      </c>
      <c r="Q579" t="str">
        <f t="shared" si="35"/>
        <v>OK</v>
      </c>
      <c r="R579" s="3">
        <f t="shared" ref="R579:R642" si="37">F579*I579</f>
        <v>231</v>
      </c>
      <c r="S579">
        <f t="shared" si="36"/>
        <v>0</v>
      </c>
      <c r="T579" t="str">
        <f t="shared" ref="T579:T642" si="38">IF(F579&lt;G579,"Reorder Required","Sufficient Stock")</f>
        <v>Sufficient Stock</v>
      </c>
    </row>
    <row r="580" spans="1:20" x14ac:dyDescent="0.3">
      <c r="A580" t="s">
        <v>2168</v>
      </c>
      <c r="B580" t="s">
        <v>594</v>
      </c>
      <c r="C580" t="s">
        <v>47</v>
      </c>
      <c r="D580" t="s">
        <v>2169</v>
      </c>
      <c r="E580" t="s">
        <v>1450</v>
      </c>
      <c r="F580">
        <v>33</v>
      </c>
      <c r="G580">
        <v>89</v>
      </c>
      <c r="H580">
        <v>15</v>
      </c>
      <c r="I580" s="1">
        <v>2.5</v>
      </c>
      <c r="J580" s="2">
        <v>45531</v>
      </c>
      <c r="K580" s="2">
        <v>45463</v>
      </c>
      <c r="L580" s="2">
        <v>45593</v>
      </c>
      <c r="M580" t="s">
        <v>2170</v>
      </c>
      <c r="N580">
        <v>90</v>
      </c>
      <c r="O580">
        <v>52</v>
      </c>
      <c r="P580" t="s">
        <v>26</v>
      </c>
      <c r="Q580" t="str">
        <f t="shared" si="35"/>
        <v>Last Order before Received</v>
      </c>
      <c r="R580" s="3">
        <f t="shared" si="37"/>
        <v>82.5</v>
      </c>
      <c r="S580">
        <f t="shared" si="36"/>
        <v>56</v>
      </c>
      <c r="T580" t="str">
        <f t="shared" si="38"/>
        <v>Reorder Required</v>
      </c>
    </row>
    <row r="581" spans="1:20" x14ac:dyDescent="0.3">
      <c r="A581" t="s">
        <v>2171</v>
      </c>
      <c r="B581" t="s">
        <v>780</v>
      </c>
      <c r="C581" t="s">
        <v>47</v>
      </c>
      <c r="D581" t="s">
        <v>2172</v>
      </c>
      <c r="E581" t="s">
        <v>2173</v>
      </c>
      <c r="F581">
        <v>90</v>
      </c>
      <c r="G581">
        <v>17</v>
      </c>
      <c r="H581">
        <v>17</v>
      </c>
      <c r="I581" s="1">
        <v>3</v>
      </c>
      <c r="J581" s="2">
        <v>45382</v>
      </c>
      <c r="K581" s="2">
        <v>45538</v>
      </c>
      <c r="L581" s="2">
        <v>45361</v>
      </c>
      <c r="M581" t="s">
        <v>2174</v>
      </c>
      <c r="N581">
        <v>82</v>
      </c>
      <c r="O581">
        <v>84</v>
      </c>
      <c r="P581" t="s">
        <v>38</v>
      </c>
      <c r="Q581" t="str">
        <f t="shared" si="35"/>
        <v>Expiry before Received</v>
      </c>
      <c r="R581" s="3">
        <f t="shared" si="37"/>
        <v>270</v>
      </c>
      <c r="S581">
        <f t="shared" si="36"/>
        <v>0</v>
      </c>
      <c r="T581" t="str">
        <f t="shared" si="38"/>
        <v>Sufficient Stock</v>
      </c>
    </row>
    <row r="582" spans="1:20" x14ac:dyDescent="0.3">
      <c r="A582" t="s">
        <v>2175</v>
      </c>
      <c r="B582" t="s">
        <v>1145</v>
      </c>
      <c r="C582" t="s">
        <v>22</v>
      </c>
      <c r="D582" t="s">
        <v>2176</v>
      </c>
      <c r="E582" t="s">
        <v>477</v>
      </c>
      <c r="F582">
        <v>31</v>
      </c>
      <c r="G582">
        <v>29</v>
      </c>
      <c r="H582">
        <v>57</v>
      </c>
      <c r="I582" s="1">
        <v>2.5</v>
      </c>
      <c r="J582" s="2">
        <v>45591</v>
      </c>
      <c r="K582" s="2">
        <v>45461</v>
      </c>
      <c r="L582" s="2">
        <v>45576</v>
      </c>
      <c r="M582" t="s">
        <v>2177</v>
      </c>
      <c r="N582">
        <v>25</v>
      </c>
      <c r="O582">
        <v>22</v>
      </c>
      <c r="P582" t="s">
        <v>44</v>
      </c>
      <c r="Q582" t="str">
        <f t="shared" si="35"/>
        <v>Expiry before Received</v>
      </c>
      <c r="R582" s="3">
        <f t="shared" si="37"/>
        <v>77.5</v>
      </c>
      <c r="S582">
        <f t="shared" si="36"/>
        <v>0</v>
      </c>
      <c r="T582" t="str">
        <f t="shared" si="38"/>
        <v>Sufficient Stock</v>
      </c>
    </row>
    <row r="583" spans="1:20" x14ac:dyDescent="0.3">
      <c r="A583" t="s">
        <v>2178</v>
      </c>
      <c r="B583" t="s">
        <v>751</v>
      </c>
      <c r="C583" t="s">
        <v>47</v>
      </c>
      <c r="D583" t="s">
        <v>2179</v>
      </c>
      <c r="E583" t="s">
        <v>2180</v>
      </c>
      <c r="F583">
        <v>92</v>
      </c>
      <c r="G583">
        <v>3</v>
      </c>
      <c r="H583">
        <v>81</v>
      </c>
      <c r="I583" s="1">
        <v>5</v>
      </c>
      <c r="J583" s="2">
        <v>45387</v>
      </c>
      <c r="K583" s="2">
        <v>45347</v>
      </c>
      <c r="L583" s="2">
        <v>45645</v>
      </c>
      <c r="M583" t="s">
        <v>2181</v>
      </c>
      <c r="N583">
        <v>62</v>
      </c>
      <c r="O583">
        <v>20</v>
      </c>
      <c r="P583" t="s">
        <v>38</v>
      </c>
      <c r="Q583" t="str">
        <f t="shared" ref="Q583:Q646" si="39">IF(L583&lt;J583,"Expiry before Received",IF(K583&lt;J583,"Last Order before Received","OK"))</f>
        <v>Last Order before Received</v>
      </c>
      <c r="R583" s="3">
        <f t="shared" si="37"/>
        <v>460</v>
      </c>
      <c r="S583">
        <f t="shared" si="36"/>
        <v>0</v>
      </c>
      <c r="T583" t="str">
        <f t="shared" si="38"/>
        <v>Sufficient Stock</v>
      </c>
    </row>
    <row r="584" spans="1:20" x14ac:dyDescent="0.3">
      <c r="A584" t="s">
        <v>2182</v>
      </c>
      <c r="B584" t="s">
        <v>594</v>
      </c>
      <c r="C584" t="s">
        <v>47</v>
      </c>
      <c r="D584" t="s">
        <v>2183</v>
      </c>
      <c r="E584" t="s">
        <v>1127</v>
      </c>
      <c r="F584">
        <v>66</v>
      </c>
      <c r="G584">
        <v>31</v>
      </c>
      <c r="H584">
        <v>18</v>
      </c>
      <c r="I584" s="1">
        <v>2.5</v>
      </c>
      <c r="J584" s="2">
        <v>45388</v>
      </c>
      <c r="K584" s="2">
        <v>45654</v>
      </c>
      <c r="L584" s="2">
        <v>45390</v>
      </c>
      <c r="M584" t="s">
        <v>2184</v>
      </c>
      <c r="N584">
        <v>85</v>
      </c>
      <c r="O584">
        <v>39</v>
      </c>
      <c r="P584" t="s">
        <v>38</v>
      </c>
      <c r="Q584" t="str">
        <f t="shared" si="39"/>
        <v>OK</v>
      </c>
      <c r="R584" s="3">
        <f t="shared" si="37"/>
        <v>165</v>
      </c>
      <c r="S584">
        <f t="shared" si="36"/>
        <v>0</v>
      </c>
      <c r="T584" t="str">
        <f t="shared" si="38"/>
        <v>Sufficient Stock</v>
      </c>
    </row>
    <row r="585" spans="1:20" x14ac:dyDescent="0.3">
      <c r="A585" t="s">
        <v>2185</v>
      </c>
      <c r="B585" t="s">
        <v>800</v>
      </c>
      <c r="C585" t="s">
        <v>132</v>
      </c>
      <c r="D585" t="s">
        <v>2186</v>
      </c>
      <c r="E585" t="s">
        <v>1283</v>
      </c>
      <c r="F585">
        <v>83</v>
      </c>
      <c r="G585">
        <v>17</v>
      </c>
      <c r="H585">
        <v>39</v>
      </c>
      <c r="I585" s="1">
        <v>10</v>
      </c>
      <c r="J585" s="2">
        <v>45446</v>
      </c>
      <c r="K585" s="2">
        <v>45484</v>
      </c>
      <c r="L585" s="2">
        <v>45382</v>
      </c>
      <c r="M585" t="s">
        <v>2187</v>
      </c>
      <c r="N585">
        <v>33</v>
      </c>
      <c r="O585">
        <v>20</v>
      </c>
      <c r="P585" t="s">
        <v>44</v>
      </c>
      <c r="Q585" t="str">
        <f t="shared" si="39"/>
        <v>Expiry before Received</v>
      </c>
      <c r="R585" s="3">
        <f t="shared" si="37"/>
        <v>830</v>
      </c>
      <c r="S585">
        <f t="shared" si="36"/>
        <v>0</v>
      </c>
      <c r="T585" t="str">
        <f t="shared" si="38"/>
        <v>Sufficient Stock</v>
      </c>
    </row>
    <row r="586" spans="1:20" x14ac:dyDescent="0.3">
      <c r="A586" t="s">
        <v>2188</v>
      </c>
      <c r="B586" t="s">
        <v>224</v>
      </c>
      <c r="C586" t="s">
        <v>47</v>
      </c>
      <c r="D586" t="s">
        <v>2189</v>
      </c>
      <c r="E586" t="s">
        <v>1940</v>
      </c>
      <c r="F586">
        <v>84</v>
      </c>
      <c r="G586">
        <v>9</v>
      </c>
      <c r="H586">
        <v>46</v>
      </c>
      <c r="I586" s="1">
        <v>5</v>
      </c>
      <c r="J586" s="2">
        <v>45451</v>
      </c>
      <c r="K586" s="2">
        <v>45431</v>
      </c>
      <c r="L586" s="2">
        <v>45636</v>
      </c>
      <c r="M586" t="s">
        <v>2190</v>
      </c>
      <c r="N586">
        <v>30</v>
      </c>
      <c r="O586">
        <v>68</v>
      </c>
      <c r="P586" t="s">
        <v>38</v>
      </c>
      <c r="Q586" t="str">
        <f t="shared" si="39"/>
        <v>Last Order before Received</v>
      </c>
      <c r="R586" s="3">
        <f t="shared" si="37"/>
        <v>420</v>
      </c>
      <c r="S586">
        <f t="shared" si="36"/>
        <v>0</v>
      </c>
      <c r="T586" t="str">
        <f t="shared" si="38"/>
        <v>Sufficient Stock</v>
      </c>
    </row>
    <row r="587" spans="1:20" x14ac:dyDescent="0.3">
      <c r="A587" t="s">
        <v>2191</v>
      </c>
      <c r="B587" t="s">
        <v>196</v>
      </c>
      <c r="C587" t="s">
        <v>132</v>
      </c>
      <c r="D587" t="s">
        <v>2192</v>
      </c>
      <c r="E587" t="s">
        <v>2180</v>
      </c>
      <c r="F587">
        <v>76</v>
      </c>
      <c r="G587">
        <v>57</v>
      </c>
      <c r="H587">
        <v>78</v>
      </c>
      <c r="I587" s="1">
        <v>9</v>
      </c>
      <c r="J587" s="2">
        <v>45461</v>
      </c>
      <c r="K587" s="2">
        <v>45470</v>
      </c>
      <c r="L587" s="2">
        <v>45410</v>
      </c>
      <c r="M587" t="s">
        <v>2193</v>
      </c>
      <c r="N587">
        <v>52</v>
      </c>
      <c r="O587">
        <v>86</v>
      </c>
      <c r="P587" t="s">
        <v>26</v>
      </c>
      <c r="Q587" t="str">
        <f t="shared" si="39"/>
        <v>Expiry before Received</v>
      </c>
      <c r="R587" s="3">
        <f t="shared" si="37"/>
        <v>684</v>
      </c>
      <c r="S587">
        <f t="shared" si="36"/>
        <v>0</v>
      </c>
      <c r="T587" t="str">
        <f t="shared" si="38"/>
        <v>Sufficient Stock</v>
      </c>
    </row>
    <row r="588" spans="1:20" x14ac:dyDescent="0.3">
      <c r="A588" t="s">
        <v>2194</v>
      </c>
      <c r="B588" t="s">
        <v>545</v>
      </c>
      <c r="C588" t="s">
        <v>47</v>
      </c>
      <c r="D588" t="s">
        <v>2195</v>
      </c>
      <c r="E588" t="s">
        <v>765</v>
      </c>
      <c r="F588">
        <v>26</v>
      </c>
      <c r="G588">
        <v>1</v>
      </c>
      <c r="H588">
        <v>9</v>
      </c>
      <c r="I588" s="1">
        <v>6</v>
      </c>
      <c r="J588" s="2">
        <v>45698</v>
      </c>
      <c r="K588" s="2">
        <v>45387</v>
      </c>
      <c r="L588" s="2">
        <v>45628</v>
      </c>
      <c r="M588" t="s">
        <v>2196</v>
      </c>
      <c r="N588">
        <v>82</v>
      </c>
      <c r="O588">
        <v>8</v>
      </c>
      <c r="P588" t="s">
        <v>38</v>
      </c>
      <c r="Q588" t="str">
        <f t="shared" si="39"/>
        <v>Expiry before Received</v>
      </c>
      <c r="R588" s="3">
        <f t="shared" si="37"/>
        <v>156</v>
      </c>
      <c r="S588">
        <f t="shared" si="36"/>
        <v>0</v>
      </c>
      <c r="T588" t="str">
        <f t="shared" si="38"/>
        <v>Sufficient Stock</v>
      </c>
    </row>
    <row r="589" spans="1:20" x14ac:dyDescent="0.3">
      <c r="A589" t="s">
        <v>2197</v>
      </c>
      <c r="B589" t="s">
        <v>286</v>
      </c>
      <c r="C589" t="s">
        <v>29</v>
      </c>
      <c r="D589" t="s">
        <v>2198</v>
      </c>
      <c r="E589" t="s">
        <v>2199</v>
      </c>
      <c r="F589">
        <v>61</v>
      </c>
      <c r="G589">
        <v>31</v>
      </c>
      <c r="H589">
        <v>100</v>
      </c>
      <c r="I589" s="1">
        <v>12.5</v>
      </c>
      <c r="J589" s="2">
        <v>45656</v>
      </c>
      <c r="K589" s="2">
        <v>45367</v>
      </c>
      <c r="L589" s="2">
        <v>45561</v>
      </c>
      <c r="M589" t="s">
        <v>2200</v>
      </c>
      <c r="N589">
        <v>95</v>
      </c>
      <c r="O589">
        <v>61</v>
      </c>
      <c r="P589" t="s">
        <v>44</v>
      </c>
      <c r="Q589" t="str">
        <f t="shared" si="39"/>
        <v>Expiry before Received</v>
      </c>
      <c r="R589" s="3">
        <f t="shared" si="37"/>
        <v>762.5</v>
      </c>
      <c r="S589">
        <f t="shared" si="36"/>
        <v>0</v>
      </c>
      <c r="T589" t="str">
        <f t="shared" si="38"/>
        <v>Sufficient Stock</v>
      </c>
    </row>
    <row r="590" spans="1:20" x14ac:dyDescent="0.3">
      <c r="A590" t="s">
        <v>2201</v>
      </c>
      <c r="B590" t="s">
        <v>1192</v>
      </c>
      <c r="C590" t="s">
        <v>64</v>
      </c>
      <c r="D590" t="s">
        <v>2202</v>
      </c>
      <c r="E590" t="s">
        <v>560</v>
      </c>
      <c r="F590">
        <v>15</v>
      </c>
      <c r="G590">
        <v>75</v>
      </c>
      <c r="H590">
        <v>78</v>
      </c>
      <c r="I590" s="1">
        <v>1.9</v>
      </c>
      <c r="J590" s="2">
        <v>45689</v>
      </c>
      <c r="K590" s="2">
        <v>45700</v>
      </c>
      <c r="L590" s="2">
        <v>45702</v>
      </c>
      <c r="M590" t="s">
        <v>2203</v>
      </c>
      <c r="N590">
        <v>71</v>
      </c>
      <c r="O590">
        <v>21</v>
      </c>
      <c r="P590" t="s">
        <v>26</v>
      </c>
      <c r="Q590" t="str">
        <f t="shared" si="39"/>
        <v>OK</v>
      </c>
      <c r="R590" s="3">
        <f t="shared" si="37"/>
        <v>28.5</v>
      </c>
      <c r="S590">
        <f t="shared" si="36"/>
        <v>60</v>
      </c>
      <c r="T590" t="str">
        <f t="shared" si="38"/>
        <v>Reorder Required</v>
      </c>
    </row>
    <row r="591" spans="1:20" x14ac:dyDescent="0.3">
      <c r="A591" t="s">
        <v>2204</v>
      </c>
      <c r="B591" t="s">
        <v>1184</v>
      </c>
      <c r="C591" t="s">
        <v>47</v>
      </c>
      <c r="D591" t="s">
        <v>2205</v>
      </c>
      <c r="E591" t="s">
        <v>2206</v>
      </c>
      <c r="F591">
        <v>73</v>
      </c>
      <c r="G591">
        <v>83</v>
      </c>
      <c r="H591">
        <v>74</v>
      </c>
      <c r="I591" s="1">
        <v>5</v>
      </c>
      <c r="J591" s="2">
        <v>45380</v>
      </c>
      <c r="K591" s="2">
        <v>45693</v>
      </c>
      <c r="L591" s="2">
        <v>45495</v>
      </c>
      <c r="M591" t="s">
        <v>2207</v>
      </c>
      <c r="N591">
        <v>87</v>
      </c>
      <c r="O591">
        <v>10</v>
      </c>
      <c r="P591" t="s">
        <v>26</v>
      </c>
      <c r="Q591" t="str">
        <f t="shared" si="39"/>
        <v>OK</v>
      </c>
      <c r="R591" s="3">
        <f t="shared" si="37"/>
        <v>365</v>
      </c>
      <c r="S591">
        <f t="shared" si="36"/>
        <v>10</v>
      </c>
      <c r="T591" t="str">
        <f t="shared" si="38"/>
        <v>Reorder Required</v>
      </c>
    </row>
    <row r="592" spans="1:20" x14ac:dyDescent="0.3">
      <c r="A592" t="s">
        <v>2208</v>
      </c>
      <c r="B592" t="s">
        <v>771</v>
      </c>
      <c r="C592" t="s">
        <v>22</v>
      </c>
      <c r="D592" t="s">
        <v>2209</v>
      </c>
      <c r="E592" t="s">
        <v>193</v>
      </c>
      <c r="F592">
        <v>41</v>
      </c>
      <c r="G592">
        <v>76</v>
      </c>
      <c r="H592">
        <v>47</v>
      </c>
      <c r="I592" s="1">
        <v>2.65</v>
      </c>
      <c r="J592" s="2">
        <v>45550</v>
      </c>
      <c r="K592" s="2">
        <v>45402</v>
      </c>
      <c r="L592" s="2">
        <v>45449</v>
      </c>
      <c r="M592" t="s">
        <v>2210</v>
      </c>
      <c r="N592">
        <v>50</v>
      </c>
      <c r="O592">
        <v>50</v>
      </c>
      <c r="P592" t="s">
        <v>38</v>
      </c>
      <c r="Q592" t="str">
        <f t="shared" si="39"/>
        <v>Expiry before Received</v>
      </c>
      <c r="R592" s="3">
        <f t="shared" si="37"/>
        <v>108.64999999999999</v>
      </c>
      <c r="S592">
        <f t="shared" si="36"/>
        <v>35</v>
      </c>
      <c r="T592" t="str">
        <f t="shared" si="38"/>
        <v>Reorder Required</v>
      </c>
    </row>
    <row r="593" spans="1:20" x14ac:dyDescent="0.3">
      <c r="A593" t="s">
        <v>2211</v>
      </c>
      <c r="B593" t="s">
        <v>603</v>
      </c>
      <c r="C593" t="s">
        <v>58</v>
      </c>
      <c r="D593" t="s">
        <v>2212</v>
      </c>
      <c r="E593" t="s">
        <v>54</v>
      </c>
      <c r="F593">
        <v>14</v>
      </c>
      <c r="G593">
        <v>75</v>
      </c>
      <c r="H593">
        <v>10</v>
      </c>
      <c r="I593" s="1">
        <v>10</v>
      </c>
      <c r="J593" s="2">
        <v>45569</v>
      </c>
      <c r="K593" s="2">
        <v>45682</v>
      </c>
      <c r="L593" s="2">
        <v>45474</v>
      </c>
      <c r="M593" t="s">
        <v>2213</v>
      </c>
      <c r="N593">
        <v>65</v>
      </c>
      <c r="O593">
        <v>62</v>
      </c>
      <c r="P593" t="s">
        <v>44</v>
      </c>
      <c r="Q593" t="str">
        <f t="shared" si="39"/>
        <v>Expiry before Received</v>
      </c>
      <c r="R593" s="3">
        <f t="shared" si="37"/>
        <v>140</v>
      </c>
      <c r="S593">
        <f t="shared" si="36"/>
        <v>61</v>
      </c>
      <c r="T593" t="str">
        <f t="shared" si="38"/>
        <v>Reorder Required</v>
      </c>
    </row>
    <row r="594" spans="1:20" x14ac:dyDescent="0.3">
      <c r="A594" t="s">
        <v>2214</v>
      </c>
      <c r="B594" t="s">
        <v>224</v>
      </c>
      <c r="C594" t="s">
        <v>47</v>
      </c>
      <c r="D594" t="s">
        <v>2215</v>
      </c>
      <c r="E594" t="s">
        <v>765</v>
      </c>
      <c r="F594">
        <v>99</v>
      </c>
      <c r="G594">
        <v>59</v>
      </c>
      <c r="H594">
        <v>12</v>
      </c>
      <c r="I594" s="1">
        <v>5</v>
      </c>
      <c r="J594" s="2">
        <v>45467</v>
      </c>
      <c r="K594" s="2">
        <v>45555</v>
      </c>
      <c r="L594" s="2">
        <v>45700</v>
      </c>
      <c r="M594" t="s">
        <v>2216</v>
      </c>
      <c r="N594">
        <v>52</v>
      </c>
      <c r="O594">
        <v>57</v>
      </c>
      <c r="P594" t="s">
        <v>38</v>
      </c>
      <c r="Q594" t="str">
        <f t="shared" si="39"/>
        <v>OK</v>
      </c>
      <c r="R594" s="3">
        <f t="shared" si="37"/>
        <v>495</v>
      </c>
      <c r="S594">
        <f t="shared" si="36"/>
        <v>0</v>
      </c>
      <c r="T594" t="str">
        <f t="shared" si="38"/>
        <v>Sufficient Stock</v>
      </c>
    </row>
    <row r="595" spans="1:20" x14ac:dyDescent="0.3">
      <c r="A595" t="s">
        <v>2217</v>
      </c>
      <c r="B595" t="s">
        <v>751</v>
      </c>
      <c r="C595" t="s">
        <v>47</v>
      </c>
      <c r="D595" t="s">
        <v>2218</v>
      </c>
      <c r="E595" t="s">
        <v>2219</v>
      </c>
      <c r="F595">
        <v>80</v>
      </c>
      <c r="G595">
        <v>6</v>
      </c>
      <c r="H595">
        <v>92</v>
      </c>
      <c r="I595" s="1">
        <v>5</v>
      </c>
      <c r="J595" s="2">
        <v>45671</v>
      </c>
      <c r="K595" s="2">
        <v>45677</v>
      </c>
      <c r="L595" s="2">
        <v>45551</v>
      </c>
      <c r="M595" t="s">
        <v>2220</v>
      </c>
      <c r="N595">
        <v>26</v>
      </c>
      <c r="O595">
        <v>71</v>
      </c>
      <c r="P595" t="s">
        <v>26</v>
      </c>
      <c r="Q595" t="str">
        <f t="shared" si="39"/>
        <v>Expiry before Received</v>
      </c>
      <c r="R595" s="3">
        <f t="shared" si="37"/>
        <v>400</v>
      </c>
      <c r="S595">
        <f t="shared" si="36"/>
        <v>0</v>
      </c>
      <c r="T595" t="str">
        <f t="shared" si="38"/>
        <v>Sufficient Stock</v>
      </c>
    </row>
    <row r="596" spans="1:20" x14ac:dyDescent="0.3">
      <c r="A596" t="s">
        <v>2221</v>
      </c>
      <c r="B596" t="s">
        <v>354</v>
      </c>
      <c r="C596" t="s">
        <v>47</v>
      </c>
      <c r="D596" t="s">
        <v>2222</v>
      </c>
      <c r="E596" t="s">
        <v>1174</v>
      </c>
      <c r="F596">
        <v>49</v>
      </c>
      <c r="G596">
        <v>89</v>
      </c>
      <c r="H596">
        <v>65</v>
      </c>
      <c r="I596" s="1">
        <v>3</v>
      </c>
      <c r="J596" s="2">
        <v>45436</v>
      </c>
      <c r="K596" s="2">
        <v>45515</v>
      </c>
      <c r="L596" s="2">
        <v>45429</v>
      </c>
      <c r="M596" t="s">
        <v>2223</v>
      </c>
      <c r="N596">
        <v>37</v>
      </c>
      <c r="O596">
        <v>48</v>
      </c>
      <c r="P596" t="s">
        <v>44</v>
      </c>
      <c r="Q596" t="str">
        <f t="shared" si="39"/>
        <v>Expiry before Received</v>
      </c>
      <c r="R596" s="3">
        <f t="shared" si="37"/>
        <v>147</v>
      </c>
      <c r="S596">
        <f t="shared" si="36"/>
        <v>40</v>
      </c>
      <c r="T596" t="str">
        <f t="shared" si="38"/>
        <v>Reorder Required</v>
      </c>
    </row>
    <row r="597" spans="1:20" x14ac:dyDescent="0.3">
      <c r="A597" t="s">
        <v>2224</v>
      </c>
      <c r="B597" t="s">
        <v>1125</v>
      </c>
      <c r="C597" t="s">
        <v>47</v>
      </c>
      <c r="D597" t="s">
        <v>2225</v>
      </c>
      <c r="E597" t="s">
        <v>575</v>
      </c>
      <c r="F597">
        <v>25</v>
      </c>
      <c r="G597">
        <v>74</v>
      </c>
      <c r="H597">
        <v>100</v>
      </c>
      <c r="I597" s="1">
        <v>5.5</v>
      </c>
      <c r="J597" s="2">
        <v>45450</v>
      </c>
      <c r="K597" s="2">
        <v>45633</v>
      </c>
      <c r="L597" s="2">
        <v>45630</v>
      </c>
      <c r="M597" t="s">
        <v>2226</v>
      </c>
      <c r="N597">
        <v>41</v>
      </c>
      <c r="O597">
        <v>59</v>
      </c>
      <c r="P597" t="s">
        <v>26</v>
      </c>
      <c r="Q597" t="str">
        <f t="shared" si="39"/>
        <v>OK</v>
      </c>
      <c r="R597" s="3">
        <f t="shared" si="37"/>
        <v>137.5</v>
      </c>
      <c r="S597">
        <f t="shared" si="36"/>
        <v>49</v>
      </c>
      <c r="T597" t="str">
        <f t="shared" si="38"/>
        <v>Reorder Required</v>
      </c>
    </row>
    <row r="598" spans="1:20" x14ac:dyDescent="0.3">
      <c r="A598" t="s">
        <v>2227</v>
      </c>
      <c r="B598" t="s">
        <v>737</v>
      </c>
      <c r="C598" t="s">
        <v>58</v>
      </c>
      <c r="D598" t="s">
        <v>2228</v>
      </c>
      <c r="E598" t="s">
        <v>452</v>
      </c>
      <c r="F598">
        <v>39</v>
      </c>
      <c r="G598">
        <v>78</v>
      </c>
      <c r="H598">
        <v>97</v>
      </c>
      <c r="I598" s="1">
        <v>6.5</v>
      </c>
      <c r="J598" s="2">
        <v>45594</v>
      </c>
      <c r="K598" s="2">
        <v>45584</v>
      </c>
      <c r="L598" s="2">
        <v>45490</v>
      </c>
      <c r="M598" t="s">
        <v>2229</v>
      </c>
      <c r="N598">
        <v>54</v>
      </c>
      <c r="O598">
        <v>89</v>
      </c>
      <c r="P598" t="s">
        <v>38</v>
      </c>
      <c r="Q598" t="str">
        <f t="shared" si="39"/>
        <v>Expiry before Received</v>
      </c>
      <c r="R598" s="3">
        <f t="shared" si="37"/>
        <v>253.5</v>
      </c>
      <c r="S598">
        <f t="shared" si="36"/>
        <v>39</v>
      </c>
      <c r="T598" t="str">
        <f t="shared" si="38"/>
        <v>Reorder Required</v>
      </c>
    </row>
    <row r="599" spans="1:20" x14ac:dyDescent="0.3">
      <c r="A599" t="s">
        <v>2230</v>
      </c>
      <c r="B599" t="s">
        <v>274</v>
      </c>
      <c r="C599" t="s">
        <v>47</v>
      </c>
      <c r="D599" t="s">
        <v>2231</v>
      </c>
      <c r="E599" t="s">
        <v>2232</v>
      </c>
      <c r="F599">
        <v>94</v>
      </c>
      <c r="G599">
        <v>58</v>
      </c>
      <c r="H599">
        <v>17</v>
      </c>
      <c r="I599" s="1">
        <v>2.9</v>
      </c>
      <c r="J599" s="2">
        <v>45505</v>
      </c>
      <c r="K599" s="2">
        <v>45478</v>
      </c>
      <c r="L599" s="2">
        <v>45645</v>
      </c>
      <c r="M599" t="s">
        <v>2233</v>
      </c>
      <c r="N599">
        <v>57</v>
      </c>
      <c r="O599">
        <v>74</v>
      </c>
      <c r="P599" t="s">
        <v>38</v>
      </c>
      <c r="Q599" t="str">
        <f t="shared" si="39"/>
        <v>Last Order before Received</v>
      </c>
      <c r="R599" s="3">
        <f t="shared" si="37"/>
        <v>272.59999999999997</v>
      </c>
      <c r="S599">
        <f t="shared" si="36"/>
        <v>0</v>
      </c>
      <c r="T599" t="str">
        <f t="shared" si="38"/>
        <v>Sufficient Stock</v>
      </c>
    </row>
    <row r="600" spans="1:20" x14ac:dyDescent="0.3">
      <c r="A600" t="s">
        <v>2234</v>
      </c>
      <c r="B600" t="s">
        <v>302</v>
      </c>
      <c r="C600" t="s">
        <v>132</v>
      </c>
      <c r="D600" t="s">
        <v>2235</v>
      </c>
      <c r="E600" t="s">
        <v>36</v>
      </c>
      <c r="F600">
        <v>11</v>
      </c>
      <c r="G600">
        <v>17</v>
      </c>
      <c r="H600">
        <v>59</v>
      </c>
      <c r="I600" s="1">
        <v>6</v>
      </c>
      <c r="J600" s="2">
        <v>45493</v>
      </c>
      <c r="K600" s="2">
        <v>45378</v>
      </c>
      <c r="L600" s="2">
        <v>45390</v>
      </c>
      <c r="M600" t="s">
        <v>2236</v>
      </c>
      <c r="N600">
        <v>69</v>
      </c>
      <c r="O600">
        <v>100</v>
      </c>
      <c r="P600" t="s">
        <v>38</v>
      </c>
      <c r="Q600" t="str">
        <f t="shared" si="39"/>
        <v>Expiry before Received</v>
      </c>
      <c r="R600" s="3">
        <f t="shared" si="37"/>
        <v>66</v>
      </c>
      <c r="S600">
        <f t="shared" si="36"/>
        <v>6</v>
      </c>
      <c r="T600" t="str">
        <f t="shared" si="38"/>
        <v>Reorder Required</v>
      </c>
    </row>
    <row r="601" spans="1:20" x14ac:dyDescent="0.3">
      <c r="A601" t="s">
        <v>2237</v>
      </c>
      <c r="B601" t="s">
        <v>435</v>
      </c>
      <c r="C601" t="s">
        <v>58</v>
      </c>
      <c r="D601" t="s">
        <v>2238</v>
      </c>
      <c r="E601" t="s">
        <v>299</v>
      </c>
      <c r="F601">
        <v>21</v>
      </c>
      <c r="G601">
        <v>52</v>
      </c>
      <c r="H601">
        <v>80</v>
      </c>
      <c r="I601" s="1">
        <v>4</v>
      </c>
      <c r="J601" s="2">
        <v>45446</v>
      </c>
      <c r="K601" s="2">
        <v>45600</v>
      </c>
      <c r="L601" s="2">
        <v>45658</v>
      </c>
      <c r="M601" t="s">
        <v>2239</v>
      </c>
      <c r="N601">
        <v>49</v>
      </c>
      <c r="O601">
        <v>37</v>
      </c>
      <c r="P601" t="s">
        <v>38</v>
      </c>
      <c r="Q601" t="str">
        <f t="shared" si="39"/>
        <v>OK</v>
      </c>
      <c r="R601" s="3">
        <f t="shared" si="37"/>
        <v>84</v>
      </c>
      <c r="S601">
        <f t="shared" si="36"/>
        <v>31</v>
      </c>
      <c r="T601" t="str">
        <f t="shared" si="38"/>
        <v>Reorder Required</v>
      </c>
    </row>
    <row r="602" spans="1:20" x14ac:dyDescent="0.3">
      <c r="A602" t="s">
        <v>2240</v>
      </c>
      <c r="B602" t="s">
        <v>256</v>
      </c>
      <c r="C602" t="s">
        <v>47</v>
      </c>
      <c r="D602" t="s">
        <v>2241</v>
      </c>
      <c r="E602" t="s">
        <v>2077</v>
      </c>
      <c r="F602">
        <v>38</v>
      </c>
      <c r="G602">
        <v>91</v>
      </c>
      <c r="H602">
        <v>94</v>
      </c>
      <c r="I602" s="1">
        <v>5.7</v>
      </c>
      <c r="J602" s="2">
        <v>45485</v>
      </c>
      <c r="K602" s="2">
        <v>45705</v>
      </c>
      <c r="L602" s="2">
        <v>45617</v>
      </c>
      <c r="M602" t="s">
        <v>2242</v>
      </c>
      <c r="N602">
        <v>53</v>
      </c>
      <c r="O602">
        <v>87</v>
      </c>
      <c r="P602" t="s">
        <v>26</v>
      </c>
      <c r="Q602" t="str">
        <f t="shared" si="39"/>
        <v>OK</v>
      </c>
      <c r="R602" s="3">
        <f t="shared" si="37"/>
        <v>216.6</v>
      </c>
      <c r="S602">
        <f t="shared" si="36"/>
        <v>53</v>
      </c>
      <c r="T602" t="str">
        <f t="shared" si="38"/>
        <v>Reorder Required</v>
      </c>
    </row>
    <row r="603" spans="1:20" x14ac:dyDescent="0.3">
      <c r="A603" t="s">
        <v>2243</v>
      </c>
      <c r="B603" t="s">
        <v>455</v>
      </c>
      <c r="C603" t="s">
        <v>58</v>
      </c>
      <c r="D603" t="s">
        <v>2244</v>
      </c>
      <c r="E603" t="s">
        <v>417</v>
      </c>
      <c r="F603">
        <v>58</v>
      </c>
      <c r="G603">
        <v>23</v>
      </c>
      <c r="H603">
        <v>66</v>
      </c>
      <c r="I603" s="1">
        <v>1.8</v>
      </c>
      <c r="J603" s="2">
        <v>45411</v>
      </c>
      <c r="K603" s="2">
        <v>45424</v>
      </c>
      <c r="L603" s="2">
        <v>45712</v>
      </c>
      <c r="M603" t="s">
        <v>2245</v>
      </c>
      <c r="N603">
        <v>82</v>
      </c>
      <c r="O603">
        <v>61</v>
      </c>
      <c r="P603" t="s">
        <v>38</v>
      </c>
      <c r="Q603" t="str">
        <f t="shared" si="39"/>
        <v>OK</v>
      </c>
      <c r="R603" s="3">
        <f t="shared" si="37"/>
        <v>104.4</v>
      </c>
      <c r="S603">
        <f t="shared" si="36"/>
        <v>0</v>
      </c>
      <c r="T603" t="str">
        <f t="shared" si="38"/>
        <v>Sufficient Stock</v>
      </c>
    </row>
    <row r="604" spans="1:20" x14ac:dyDescent="0.3">
      <c r="A604" t="s">
        <v>2246</v>
      </c>
      <c r="B604" t="s">
        <v>46</v>
      </c>
      <c r="C604" t="s">
        <v>47</v>
      </c>
      <c r="D604" t="s">
        <v>2247</v>
      </c>
      <c r="E604" t="s">
        <v>2199</v>
      </c>
      <c r="F604">
        <v>85</v>
      </c>
      <c r="G604">
        <v>16</v>
      </c>
      <c r="H604">
        <v>74</v>
      </c>
      <c r="I604" s="1">
        <v>3.85</v>
      </c>
      <c r="J604" s="2">
        <v>45614</v>
      </c>
      <c r="K604" s="2">
        <v>45573</v>
      </c>
      <c r="L604" s="2">
        <v>45629</v>
      </c>
      <c r="M604" t="s">
        <v>2248</v>
      </c>
      <c r="N604">
        <v>58</v>
      </c>
      <c r="O604">
        <v>36</v>
      </c>
      <c r="P604" t="s">
        <v>38</v>
      </c>
      <c r="Q604" t="str">
        <f t="shared" si="39"/>
        <v>Last Order before Received</v>
      </c>
      <c r="R604" s="3">
        <f t="shared" si="37"/>
        <v>327.25</v>
      </c>
      <c r="S604">
        <f t="shared" si="36"/>
        <v>0</v>
      </c>
      <c r="T604" t="str">
        <f t="shared" si="38"/>
        <v>Sufficient Stock</v>
      </c>
    </row>
    <row r="605" spans="1:20" x14ac:dyDescent="0.3">
      <c r="A605" t="s">
        <v>2249</v>
      </c>
      <c r="B605" t="s">
        <v>594</v>
      </c>
      <c r="C605" t="s">
        <v>47</v>
      </c>
      <c r="D605" t="s">
        <v>2250</v>
      </c>
      <c r="E605" t="s">
        <v>36</v>
      </c>
      <c r="F605">
        <v>63</v>
      </c>
      <c r="G605">
        <v>62</v>
      </c>
      <c r="H605">
        <v>98</v>
      </c>
      <c r="I605" s="1">
        <v>2.5</v>
      </c>
      <c r="J605" s="2">
        <v>45442</v>
      </c>
      <c r="K605" s="2">
        <v>45372</v>
      </c>
      <c r="L605" s="2">
        <v>45679</v>
      </c>
      <c r="M605" t="s">
        <v>2251</v>
      </c>
      <c r="N605">
        <v>62</v>
      </c>
      <c r="O605">
        <v>45</v>
      </c>
      <c r="P605" t="s">
        <v>38</v>
      </c>
      <c r="Q605" t="str">
        <f t="shared" si="39"/>
        <v>Last Order before Received</v>
      </c>
      <c r="R605" s="3">
        <f t="shared" si="37"/>
        <v>157.5</v>
      </c>
      <c r="S605">
        <f t="shared" si="36"/>
        <v>0</v>
      </c>
      <c r="T605" t="str">
        <f t="shared" si="38"/>
        <v>Sufficient Stock</v>
      </c>
    </row>
    <row r="606" spans="1:20" x14ac:dyDescent="0.3">
      <c r="A606" t="s">
        <v>2252</v>
      </c>
      <c r="B606" t="s">
        <v>1538</v>
      </c>
      <c r="C606" t="s">
        <v>58</v>
      </c>
      <c r="D606" t="s">
        <v>2253</v>
      </c>
      <c r="E606" t="s">
        <v>2254</v>
      </c>
      <c r="F606">
        <v>54</v>
      </c>
      <c r="G606">
        <v>86</v>
      </c>
      <c r="H606">
        <v>69</v>
      </c>
      <c r="I606" s="1">
        <v>5</v>
      </c>
      <c r="J606" s="2">
        <v>45622</v>
      </c>
      <c r="K606" s="2">
        <v>45519</v>
      </c>
      <c r="L606" s="2">
        <v>45390</v>
      </c>
      <c r="M606" t="s">
        <v>2255</v>
      </c>
      <c r="N606">
        <v>29</v>
      </c>
      <c r="O606">
        <v>8</v>
      </c>
      <c r="P606" t="s">
        <v>26</v>
      </c>
      <c r="Q606" t="str">
        <f t="shared" si="39"/>
        <v>Expiry before Received</v>
      </c>
      <c r="R606" s="3">
        <f t="shared" si="37"/>
        <v>270</v>
      </c>
      <c r="S606">
        <f t="shared" si="36"/>
        <v>32</v>
      </c>
      <c r="T606" t="str">
        <f t="shared" si="38"/>
        <v>Reorder Required</v>
      </c>
    </row>
    <row r="607" spans="1:20" x14ac:dyDescent="0.3">
      <c r="A607" t="s">
        <v>2256</v>
      </c>
      <c r="B607" t="s">
        <v>2257</v>
      </c>
      <c r="C607" t="s">
        <v>47</v>
      </c>
      <c r="D607" t="s">
        <v>2258</v>
      </c>
      <c r="E607" t="s">
        <v>551</v>
      </c>
      <c r="F607">
        <v>30</v>
      </c>
      <c r="G607">
        <v>25</v>
      </c>
      <c r="H607">
        <v>11</v>
      </c>
      <c r="I607" s="1">
        <v>8</v>
      </c>
      <c r="J607" s="2">
        <v>45651</v>
      </c>
      <c r="K607" s="2">
        <v>45485</v>
      </c>
      <c r="L607" s="2">
        <v>45471</v>
      </c>
      <c r="M607" t="s">
        <v>2259</v>
      </c>
      <c r="N607">
        <v>42</v>
      </c>
      <c r="O607">
        <v>76</v>
      </c>
      <c r="P607" t="s">
        <v>44</v>
      </c>
      <c r="Q607" t="str">
        <f t="shared" si="39"/>
        <v>Expiry before Received</v>
      </c>
      <c r="R607" s="3">
        <f t="shared" si="37"/>
        <v>240</v>
      </c>
      <c r="S607">
        <f t="shared" si="36"/>
        <v>0</v>
      </c>
      <c r="T607" t="str">
        <f t="shared" si="38"/>
        <v>Sufficient Stock</v>
      </c>
    </row>
    <row r="608" spans="1:20" x14ac:dyDescent="0.3">
      <c r="A608" t="s">
        <v>2260</v>
      </c>
      <c r="B608" t="s">
        <v>594</v>
      </c>
      <c r="C608" t="s">
        <v>47</v>
      </c>
      <c r="D608" t="s">
        <v>2261</v>
      </c>
      <c r="E608" t="s">
        <v>797</v>
      </c>
      <c r="F608">
        <v>57</v>
      </c>
      <c r="G608">
        <v>25</v>
      </c>
      <c r="H608">
        <v>98</v>
      </c>
      <c r="I608" s="1">
        <v>2.5</v>
      </c>
      <c r="J608" s="2">
        <v>45457</v>
      </c>
      <c r="K608" s="2">
        <v>45347</v>
      </c>
      <c r="L608" s="2">
        <v>45426</v>
      </c>
      <c r="M608" t="s">
        <v>2262</v>
      </c>
      <c r="N608">
        <v>78</v>
      </c>
      <c r="O608">
        <v>37</v>
      </c>
      <c r="P608" t="s">
        <v>44</v>
      </c>
      <c r="Q608" t="str">
        <f t="shared" si="39"/>
        <v>Expiry before Received</v>
      </c>
      <c r="R608" s="3">
        <f t="shared" si="37"/>
        <v>142.5</v>
      </c>
      <c r="S608">
        <f t="shared" si="36"/>
        <v>0</v>
      </c>
      <c r="T608" t="str">
        <f t="shared" si="38"/>
        <v>Sufficient Stock</v>
      </c>
    </row>
    <row r="609" spans="1:20" x14ac:dyDescent="0.3">
      <c r="A609" t="s">
        <v>2263</v>
      </c>
      <c r="B609" t="s">
        <v>710</v>
      </c>
      <c r="C609" t="s">
        <v>58</v>
      </c>
      <c r="D609" t="s">
        <v>2264</v>
      </c>
      <c r="E609" t="s">
        <v>1071</v>
      </c>
      <c r="F609">
        <v>18</v>
      </c>
      <c r="G609">
        <v>72</v>
      </c>
      <c r="H609">
        <v>71</v>
      </c>
      <c r="I609" s="1">
        <v>2</v>
      </c>
      <c r="J609" s="2">
        <v>45417</v>
      </c>
      <c r="K609" s="2">
        <v>45516</v>
      </c>
      <c r="L609" s="2">
        <v>45463</v>
      </c>
      <c r="M609" t="s">
        <v>2265</v>
      </c>
      <c r="N609">
        <v>25</v>
      </c>
      <c r="O609">
        <v>81</v>
      </c>
      <c r="P609" t="s">
        <v>44</v>
      </c>
      <c r="Q609" t="str">
        <f t="shared" si="39"/>
        <v>OK</v>
      </c>
      <c r="R609" s="3">
        <f t="shared" si="37"/>
        <v>36</v>
      </c>
      <c r="S609">
        <f t="shared" si="36"/>
        <v>54</v>
      </c>
      <c r="T609" t="str">
        <f t="shared" si="38"/>
        <v>Reorder Required</v>
      </c>
    </row>
    <row r="610" spans="1:20" x14ac:dyDescent="0.3">
      <c r="A610" t="s">
        <v>2266</v>
      </c>
      <c r="B610" t="s">
        <v>624</v>
      </c>
      <c r="C610" t="s">
        <v>132</v>
      </c>
      <c r="D610" t="s">
        <v>2267</v>
      </c>
      <c r="E610" t="s">
        <v>2268</v>
      </c>
      <c r="F610">
        <v>16</v>
      </c>
      <c r="G610">
        <v>34</v>
      </c>
      <c r="H610">
        <v>89</v>
      </c>
      <c r="I610" s="1">
        <v>18</v>
      </c>
      <c r="J610" s="2">
        <v>45652</v>
      </c>
      <c r="K610" s="2">
        <v>45349</v>
      </c>
      <c r="L610" s="2">
        <v>45411</v>
      </c>
      <c r="M610" t="s">
        <v>2269</v>
      </c>
      <c r="N610">
        <v>35</v>
      </c>
      <c r="O610">
        <v>52</v>
      </c>
      <c r="P610" t="s">
        <v>38</v>
      </c>
      <c r="Q610" t="str">
        <f t="shared" si="39"/>
        <v>Expiry before Received</v>
      </c>
      <c r="R610" s="3">
        <f t="shared" si="37"/>
        <v>288</v>
      </c>
      <c r="S610">
        <f t="shared" si="36"/>
        <v>18</v>
      </c>
      <c r="T610" t="str">
        <f t="shared" si="38"/>
        <v>Reorder Required</v>
      </c>
    </row>
    <row r="611" spans="1:20" x14ac:dyDescent="0.3">
      <c r="A611" t="s">
        <v>2270</v>
      </c>
      <c r="B611" t="s">
        <v>629</v>
      </c>
      <c r="C611" t="s">
        <v>64</v>
      </c>
      <c r="D611" t="s">
        <v>2271</v>
      </c>
      <c r="E611" t="s">
        <v>928</v>
      </c>
      <c r="F611">
        <v>39</v>
      </c>
      <c r="G611">
        <v>80</v>
      </c>
      <c r="H611">
        <v>68</v>
      </c>
      <c r="I611" s="1">
        <v>2.5</v>
      </c>
      <c r="J611" s="2">
        <v>45493</v>
      </c>
      <c r="K611" s="2">
        <v>45510</v>
      </c>
      <c r="L611" s="2">
        <v>45519</v>
      </c>
      <c r="M611" t="s">
        <v>2272</v>
      </c>
      <c r="N611">
        <v>46</v>
      </c>
      <c r="O611">
        <v>54</v>
      </c>
      <c r="P611" t="s">
        <v>26</v>
      </c>
      <c r="Q611" t="str">
        <f t="shared" si="39"/>
        <v>OK</v>
      </c>
      <c r="R611" s="3">
        <f t="shared" si="37"/>
        <v>97.5</v>
      </c>
      <c r="S611">
        <f t="shared" si="36"/>
        <v>41</v>
      </c>
      <c r="T611" t="str">
        <f t="shared" si="38"/>
        <v>Reorder Required</v>
      </c>
    </row>
    <row r="612" spans="1:20" x14ac:dyDescent="0.3">
      <c r="A612" t="s">
        <v>2273</v>
      </c>
      <c r="B612" t="s">
        <v>229</v>
      </c>
      <c r="C612" t="s">
        <v>47</v>
      </c>
      <c r="D612" t="s">
        <v>2274</v>
      </c>
      <c r="E612" t="s">
        <v>1985</v>
      </c>
      <c r="F612">
        <v>59</v>
      </c>
      <c r="G612">
        <v>82</v>
      </c>
      <c r="H612">
        <v>69</v>
      </c>
      <c r="I612" s="1">
        <v>2.4500000000000002</v>
      </c>
      <c r="J612" s="2">
        <v>45416</v>
      </c>
      <c r="K612" s="2">
        <v>45376</v>
      </c>
      <c r="L612" s="2">
        <v>45354</v>
      </c>
      <c r="M612" t="s">
        <v>2275</v>
      </c>
      <c r="N612">
        <v>30</v>
      </c>
      <c r="O612">
        <v>34</v>
      </c>
      <c r="P612" t="s">
        <v>26</v>
      </c>
      <c r="Q612" t="str">
        <f t="shared" si="39"/>
        <v>Expiry before Received</v>
      </c>
      <c r="R612" s="3">
        <f t="shared" si="37"/>
        <v>144.55000000000001</v>
      </c>
      <c r="S612">
        <f t="shared" si="36"/>
        <v>23</v>
      </c>
      <c r="T612" t="str">
        <f t="shared" si="38"/>
        <v>Reorder Required</v>
      </c>
    </row>
    <row r="613" spans="1:20" x14ac:dyDescent="0.3">
      <c r="A613" t="s">
        <v>2276</v>
      </c>
      <c r="B613" t="s">
        <v>1479</v>
      </c>
      <c r="C613" t="s">
        <v>132</v>
      </c>
      <c r="D613" t="s">
        <v>2277</v>
      </c>
      <c r="E613" t="s">
        <v>2278</v>
      </c>
      <c r="F613">
        <v>79</v>
      </c>
      <c r="G613">
        <v>28</v>
      </c>
      <c r="H613">
        <v>4</v>
      </c>
      <c r="I613" s="1">
        <v>15</v>
      </c>
      <c r="J613" s="2">
        <v>45689</v>
      </c>
      <c r="K613" s="2">
        <v>45555</v>
      </c>
      <c r="L613" s="2">
        <v>45429</v>
      </c>
      <c r="M613" t="s">
        <v>2279</v>
      </c>
      <c r="N613">
        <v>42</v>
      </c>
      <c r="O613">
        <v>46</v>
      </c>
      <c r="P613" t="s">
        <v>44</v>
      </c>
      <c r="Q613" t="str">
        <f t="shared" si="39"/>
        <v>Expiry before Received</v>
      </c>
      <c r="R613" s="3">
        <f t="shared" si="37"/>
        <v>1185</v>
      </c>
      <c r="S613">
        <f t="shared" si="36"/>
        <v>0</v>
      </c>
      <c r="T613" t="str">
        <f t="shared" si="38"/>
        <v>Sufficient Stock</v>
      </c>
    </row>
    <row r="614" spans="1:20" x14ac:dyDescent="0.3">
      <c r="A614" t="s">
        <v>2280</v>
      </c>
      <c r="B614" t="s">
        <v>157</v>
      </c>
      <c r="C614" t="s">
        <v>64</v>
      </c>
      <c r="D614" t="s">
        <v>2281</v>
      </c>
      <c r="E614" t="s">
        <v>365</v>
      </c>
      <c r="F614">
        <v>78</v>
      </c>
      <c r="G614">
        <v>61</v>
      </c>
      <c r="H614">
        <v>6</v>
      </c>
      <c r="I614" s="1">
        <v>0.8</v>
      </c>
      <c r="J614" s="2">
        <v>45439</v>
      </c>
      <c r="K614" s="2">
        <v>45571</v>
      </c>
      <c r="L614" s="2">
        <v>45644</v>
      </c>
      <c r="M614" t="s">
        <v>2282</v>
      </c>
      <c r="N614">
        <v>49</v>
      </c>
      <c r="O614">
        <v>60</v>
      </c>
      <c r="P614" t="s">
        <v>44</v>
      </c>
      <c r="Q614" t="str">
        <f t="shared" si="39"/>
        <v>OK</v>
      </c>
      <c r="R614" s="3">
        <f t="shared" si="37"/>
        <v>62.400000000000006</v>
      </c>
      <c r="S614">
        <f t="shared" si="36"/>
        <v>0</v>
      </c>
      <c r="T614" t="str">
        <f t="shared" si="38"/>
        <v>Sufficient Stock</v>
      </c>
    </row>
    <row r="615" spans="1:20" x14ac:dyDescent="0.3">
      <c r="A615" t="s">
        <v>2283</v>
      </c>
      <c r="B615" t="s">
        <v>21</v>
      </c>
      <c r="C615" t="s">
        <v>22</v>
      </c>
      <c r="D615" t="s">
        <v>2284</v>
      </c>
      <c r="E615" t="s">
        <v>2285</v>
      </c>
      <c r="F615">
        <v>22</v>
      </c>
      <c r="G615">
        <v>10</v>
      </c>
      <c r="H615">
        <v>53</v>
      </c>
      <c r="I615" s="1">
        <v>4.25</v>
      </c>
      <c r="J615" s="2">
        <v>45512</v>
      </c>
      <c r="K615" s="2">
        <v>45591</v>
      </c>
      <c r="L615" s="2">
        <v>45396</v>
      </c>
      <c r="M615" t="s">
        <v>2286</v>
      </c>
      <c r="N615">
        <v>64</v>
      </c>
      <c r="O615">
        <v>7</v>
      </c>
      <c r="P615" t="s">
        <v>44</v>
      </c>
      <c r="Q615" t="str">
        <f t="shared" si="39"/>
        <v>Expiry before Received</v>
      </c>
      <c r="R615" s="3">
        <f t="shared" si="37"/>
        <v>93.5</v>
      </c>
      <c r="S615">
        <f t="shared" si="36"/>
        <v>0</v>
      </c>
      <c r="T615" t="str">
        <f t="shared" si="38"/>
        <v>Sufficient Stock</v>
      </c>
    </row>
    <row r="616" spans="1:20" x14ac:dyDescent="0.3">
      <c r="A616" t="s">
        <v>2287</v>
      </c>
      <c r="B616" t="s">
        <v>2288</v>
      </c>
      <c r="C616" t="s">
        <v>64</v>
      </c>
      <c r="D616" t="s">
        <v>2289</v>
      </c>
      <c r="E616" t="s">
        <v>2290</v>
      </c>
      <c r="F616">
        <v>10</v>
      </c>
      <c r="G616">
        <v>17</v>
      </c>
      <c r="H616">
        <v>70</v>
      </c>
      <c r="I616" s="1">
        <v>0.2</v>
      </c>
      <c r="J616" s="2">
        <v>45655</v>
      </c>
      <c r="K616" s="2">
        <v>45649</v>
      </c>
      <c r="L616" s="2">
        <v>45543</v>
      </c>
      <c r="M616" t="s">
        <v>2291</v>
      </c>
      <c r="N616">
        <v>100</v>
      </c>
      <c r="O616">
        <v>63</v>
      </c>
      <c r="P616" t="s">
        <v>38</v>
      </c>
      <c r="Q616" t="str">
        <f t="shared" si="39"/>
        <v>Expiry before Received</v>
      </c>
      <c r="R616" s="3">
        <f t="shared" si="37"/>
        <v>2</v>
      </c>
      <c r="S616">
        <f t="shared" si="36"/>
        <v>7</v>
      </c>
      <c r="T616" t="str">
        <f t="shared" si="38"/>
        <v>Reorder Required</v>
      </c>
    </row>
    <row r="617" spans="1:20" x14ac:dyDescent="0.3">
      <c r="A617" t="s">
        <v>2292</v>
      </c>
      <c r="B617" t="s">
        <v>385</v>
      </c>
      <c r="C617" t="s">
        <v>22</v>
      </c>
      <c r="D617" t="s">
        <v>2293</v>
      </c>
      <c r="E617" t="s">
        <v>655</v>
      </c>
      <c r="F617">
        <v>34</v>
      </c>
      <c r="G617">
        <v>32</v>
      </c>
      <c r="H617">
        <v>22</v>
      </c>
      <c r="I617" s="1">
        <v>4.5</v>
      </c>
      <c r="J617" s="2">
        <v>45414</v>
      </c>
      <c r="K617" s="2">
        <v>45598</v>
      </c>
      <c r="L617" s="2">
        <v>45695</v>
      </c>
      <c r="M617" t="s">
        <v>2294</v>
      </c>
      <c r="N617">
        <v>42</v>
      </c>
      <c r="O617">
        <v>27</v>
      </c>
      <c r="P617" t="s">
        <v>44</v>
      </c>
      <c r="Q617" t="str">
        <f t="shared" si="39"/>
        <v>OK</v>
      </c>
      <c r="R617" s="3">
        <f t="shared" si="37"/>
        <v>153</v>
      </c>
      <c r="S617">
        <f t="shared" si="36"/>
        <v>0</v>
      </c>
      <c r="T617" t="str">
        <f t="shared" si="38"/>
        <v>Sufficient Stock</v>
      </c>
    </row>
    <row r="618" spans="1:20" x14ac:dyDescent="0.3">
      <c r="A618" t="s">
        <v>2295</v>
      </c>
      <c r="B618" t="s">
        <v>363</v>
      </c>
      <c r="C618" t="s">
        <v>64</v>
      </c>
      <c r="D618" t="s">
        <v>2296</v>
      </c>
      <c r="E618" t="s">
        <v>469</v>
      </c>
      <c r="F618">
        <v>74</v>
      </c>
      <c r="G618">
        <v>62</v>
      </c>
      <c r="H618">
        <v>6</v>
      </c>
      <c r="I618" s="1">
        <v>4</v>
      </c>
      <c r="J618" s="2">
        <v>45653</v>
      </c>
      <c r="K618" s="2">
        <v>45670</v>
      </c>
      <c r="L618" s="2">
        <v>45518</v>
      </c>
      <c r="M618" t="s">
        <v>2297</v>
      </c>
      <c r="N618">
        <v>65</v>
      </c>
      <c r="O618">
        <v>96</v>
      </c>
      <c r="P618" t="s">
        <v>44</v>
      </c>
      <c r="Q618" t="str">
        <f t="shared" si="39"/>
        <v>Expiry before Received</v>
      </c>
      <c r="R618" s="3">
        <f t="shared" si="37"/>
        <v>296</v>
      </c>
      <c r="S618">
        <f t="shared" si="36"/>
        <v>0</v>
      </c>
      <c r="T618" t="str">
        <f t="shared" si="38"/>
        <v>Sufficient Stock</v>
      </c>
    </row>
    <row r="619" spans="1:20" x14ac:dyDescent="0.3">
      <c r="A619" t="s">
        <v>2298</v>
      </c>
      <c r="B619" t="s">
        <v>21</v>
      </c>
      <c r="C619" t="s">
        <v>22</v>
      </c>
      <c r="D619" t="s">
        <v>2299</v>
      </c>
      <c r="E619" t="s">
        <v>782</v>
      </c>
      <c r="F619">
        <v>10</v>
      </c>
      <c r="G619">
        <v>11</v>
      </c>
      <c r="H619">
        <v>29</v>
      </c>
      <c r="I619" s="1">
        <v>4.3</v>
      </c>
      <c r="J619" s="2">
        <v>45701</v>
      </c>
      <c r="K619" s="2">
        <v>45573</v>
      </c>
      <c r="L619" s="2">
        <v>45495</v>
      </c>
      <c r="M619" t="s">
        <v>2300</v>
      </c>
      <c r="N619">
        <v>29</v>
      </c>
      <c r="O619">
        <v>72</v>
      </c>
      <c r="P619" t="s">
        <v>38</v>
      </c>
      <c r="Q619" t="str">
        <f t="shared" si="39"/>
        <v>Expiry before Received</v>
      </c>
      <c r="R619" s="3">
        <f t="shared" si="37"/>
        <v>43</v>
      </c>
      <c r="S619">
        <f t="shared" si="36"/>
        <v>1</v>
      </c>
      <c r="T619" t="str">
        <f t="shared" si="38"/>
        <v>Reorder Required</v>
      </c>
    </row>
    <row r="620" spans="1:20" x14ac:dyDescent="0.3">
      <c r="A620" t="s">
        <v>2301</v>
      </c>
      <c r="B620" t="s">
        <v>828</v>
      </c>
      <c r="C620" t="s">
        <v>22</v>
      </c>
      <c r="D620" t="s">
        <v>2302</v>
      </c>
      <c r="E620" t="s">
        <v>943</v>
      </c>
      <c r="F620">
        <v>11</v>
      </c>
      <c r="G620">
        <v>87</v>
      </c>
      <c r="H620">
        <v>64</v>
      </c>
      <c r="I620" s="1">
        <v>4.5</v>
      </c>
      <c r="J620" s="2">
        <v>45534</v>
      </c>
      <c r="K620" s="2">
        <v>45451</v>
      </c>
      <c r="L620" s="2">
        <v>45448</v>
      </c>
      <c r="M620" t="s">
        <v>2303</v>
      </c>
      <c r="N620">
        <v>29</v>
      </c>
      <c r="O620">
        <v>6</v>
      </c>
      <c r="P620" t="s">
        <v>44</v>
      </c>
      <c r="Q620" t="str">
        <f t="shared" si="39"/>
        <v>Expiry before Received</v>
      </c>
      <c r="R620" s="3">
        <f t="shared" si="37"/>
        <v>49.5</v>
      </c>
      <c r="S620">
        <f t="shared" si="36"/>
        <v>76</v>
      </c>
      <c r="T620" t="str">
        <f t="shared" si="38"/>
        <v>Reorder Required</v>
      </c>
    </row>
    <row r="621" spans="1:20" x14ac:dyDescent="0.3">
      <c r="A621" t="s">
        <v>2304</v>
      </c>
      <c r="B621" t="s">
        <v>1125</v>
      </c>
      <c r="C621" t="s">
        <v>47</v>
      </c>
      <c r="D621" t="s">
        <v>2305</v>
      </c>
      <c r="E621" t="s">
        <v>1669</v>
      </c>
      <c r="F621">
        <v>99</v>
      </c>
      <c r="G621">
        <v>68</v>
      </c>
      <c r="H621">
        <v>1</v>
      </c>
      <c r="I621" s="1">
        <v>5.5</v>
      </c>
      <c r="J621" s="2">
        <v>45486</v>
      </c>
      <c r="K621" s="2">
        <v>45347</v>
      </c>
      <c r="L621" s="2">
        <v>45543</v>
      </c>
      <c r="M621" t="s">
        <v>2306</v>
      </c>
      <c r="N621">
        <v>59</v>
      </c>
      <c r="O621">
        <v>16</v>
      </c>
      <c r="P621" t="s">
        <v>26</v>
      </c>
      <c r="Q621" t="str">
        <f t="shared" si="39"/>
        <v>Last Order before Received</v>
      </c>
      <c r="R621" s="3">
        <f t="shared" si="37"/>
        <v>544.5</v>
      </c>
      <c r="S621">
        <f t="shared" si="36"/>
        <v>0</v>
      </c>
      <c r="T621" t="str">
        <f t="shared" si="38"/>
        <v>Sufficient Stock</v>
      </c>
    </row>
    <row r="622" spans="1:20" x14ac:dyDescent="0.3">
      <c r="A622" t="s">
        <v>2307</v>
      </c>
      <c r="B622" t="s">
        <v>113</v>
      </c>
      <c r="C622" t="s">
        <v>64</v>
      </c>
      <c r="D622" t="s">
        <v>2308</v>
      </c>
      <c r="E622" t="s">
        <v>689</v>
      </c>
      <c r="F622">
        <v>64</v>
      </c>
      <c r="G622">
        <v>14</v>
      </c>
      <c r="H622">
        <v>44</v>
      </c>
      <c r="I622" s="1">
        <v>8</v>
      </c>
      <c r="J622" s="2">
        <v>45466</v>
      </c>
      <c r="K622" s="2">
        <v>45428</v>
      </c>
      <c r="L622" s="2">
        <v>45655</v>
      </c>
      <c r="M622" t="s">
        <v>2309</v>
      </c>
      <c r="N622">
        <v>53</v>
      </c>
      <c r="O622">
        <v>33</v>
      </c>
      <c r="P622" t="s">
        <v>44</v>
      </c>
      <c r="Q622" t="str">
        <f t="shared" si="39"/>
        <v>Last Order before Received</v>
      </c>
      <c r="R622" s="3">
        <f t="shared" si="37"/>
        <v>512</v>
      </c>
      <c r="S622">
        <f t="shared" si="36"/>
        <v>0</v>
      </c>
      <c r="T622" t="str">
        <f t="shared" si="38"/>
        <v>Sufficient Stock</v>
      </c>
    </row>
    <row r="623" spans="1:20" x14ac:dyDescent="0.3">
      <c r="A623" t="s">
        <v>2310</v>
      </c>
      <c r="B623" t="s">
        <v>171</v>
      </c>
      <c r="C623" t="s">
        <v>47</v>
      </c>
      <c r="D623" t="s">
        <v>2311</v>
      </c>
      <c r="E623" t="s">
        <v>2312</v>
      </c>
      <c r="F623">
        <v>58</v>
      </c>
      <c r="G623">
        <v>55</v>
      </c>
      <c r="H623">
        <v>5</v>
      </c>
      <c r="I623" s="1">
        <v>4.45</v>
      </c>
      <c r="J623" s="2">
        <v>45657</v>
      </c>
      <c r="K623" s="2">
        <v>45399</v>
      </c>
      <c r="L623" s="2">
        <v>45663</v>
      </c>
      <c r="M623" t="s">
        <v>2313</v>
      </c>
      <c r="N623">
        <v>62</v>
      </c>
      <c r="O623">
        <v>89</v>
      </c>
      <c r="P623" t="s">
        <v>44</v>
      </c>
      <c r="Q623" t="str">
        <f t="shared" si="39"/>
        <v>Last Order before Received</v>
      </c>
      <c r="R623" s="3">
        <f t="shared" si="37"/>
        <v>258.10000000000002</v>
      </c>
      <c r="S623">
        <f t="shared" si="36"/>
        <v>0</v>
      </c>
      <c r="T623" t="str">
        <f t="shared" si="38"/>
        <v>Sufficient Stock</v>
      </c>
    </row>
    <row r="624" spans="1:20" x14ac:dyDescent="0.3">
      <c r="A624" t="s">
        <v>2314</v>
      </c>
      <c r="B624" t="s">
        <v>57</v>
      </c>
      <c r="C624" t="s">
        <v>58</v>
      </c>
      <c r="D624" t="s">
        <v>2315</v>
      </c>
      <c r="E624" t="s">
        <v>173</v>
      </c>
      <c r="F624">
        <v>26</v>
      </c>
      <c r="G624">
        <v>100</v>
      </c>
      <c r="H624">
        <v>13</v>
      </c>
      <c r="I624" s="1">
        <v>2.5</v>
      </c>
      <c r="J624" s="2">
        <v>45619</v>
      </c>
      <c r="K624" s="2">
        <v>45553</v>
      </c>
      <c r="L624" s="2">
        <v>45664</v>
      </c>
      <c r="M624" t="s">
        <v>2316</v>
      </c>
      <c r="N624">
        <v>45</v>
      </c>
      <c r="O624">
        <v>45</v>
      </c>
      <c r="P624" t="s">
        <v>26</v>
      </c>
      <c r="Q624" t="str">
        <f t="shared" si="39"/>
        <v>Last Order before Received</v>
      </c>
      <c r="R624" s="3">
        <f t="shared" si="37"/>
        <v>65</v>
      </c>
      <c r="S624">
        <f t="shared" si="36"/>
        <v>74</v>
      </c>
      <c r="T624" t="str">
        <f t="shared" si="38"/>
        <v>Reorder Required</v>
      </c>
    </row>
    <row r="625" spans="1:20" x14ac:dyDescent="0.3">
      <c r="A625" t="s">
        <v>2317</v>
      </c>
      <c r="B625" t="s">
        <v>152</v>
      </c>
      <c r="C625" t="s">
        <v>22</v>
      </c>
      <c r="D625" t="s">
        <v>2318</v>
      </c>
      <c r="E625" t="s">
        <v>638</v>
      </c>
      <c r="F625">
        <v>72</v>
      </c>
      <c r="G625">
        <v>72</v>
      </c>
      <c r="H625">
        <v>68</v>
      </c>
      <c r="I625" s="1">
        <v>1.5</v>
      </c>
      <c r="J625" s="2">
        <v>45564</v>
      </c>
      <c r="K625" s="2">
        <v>45469</v>
      </c>
      <c r="L625" s="2">
        <v>45613</v>
      </c>
      <c r="M625" t="s">
        <v>2319</v>
      </c>
      <c r="N625">
        <v>39</v>
      </c>
      <c r="O625">
        <v>78</v>
      </c>
      <c r="P625" t="s">
        <v>44</v>
      </c>
      <c r="Q625" t="str">
        <f t="shared" si="39"/>
        <v>Last Order before Received</v>
      </c>
      <c r="R625" s="3">
        <f t="shared" si="37"/>
        <v>108</v>
      </c>
      <c r="S625">
        <f t="shared" si="36"/>
        <v>0</v>
      </c>
      <c r="T625" t="str">
        <f t="shared" si="38"/>
        <v>Sufficient Stock</v>
      </c>
    </row>
    <row r="626" spans="1:20" x14ac:dyDescent="0.3">
      <c r="A626" t="s">
        <v>2320</v>
      </c>
      <c r="B626" t="s">
        <v>344</v>
      </c>
      <c r="C626" t="s">
        <v>64</v>
      </c>
      <c r="D626" t="s">
        <v>2321</v>
      </c>
      <c r="E626" t="s">
        <v>1032</v>
      </c>
      <c r="F626">
        <v>36</v>
      </c>
      <c r="G626">
        <v>82</v>
      </c>
      <c r="H626">
        <v>85</v>
      </c>
      <c r="I626" s="1">
        <v>7.1</v>
      </c>
      <c r="J626" s="2">
        <v>45410</v>
      </c>
      <c r="K626" s="2">
        <v>45380</v>
      </c>
      <c r="L626" s="2">
        <v>45509</v>
      </c>
      <c r="M626" t="s">
        <v>2322</v>
      </c>
      <c r="N626">
        <v>27</v>
      </c>
      <c r="O626">
        <v>67</v>
      </c>
      <c r="P626" t="s">
        <v>26</v>
      </c>
      <c r="Q626" t="str">
        <f t="shared" si="39"/>
        <v>Last Order before Received</v>
      </c>
      <c r="R626" s="3">
        <f t="shared" si="37"/>
        <v>255.6</v>
      </c>
      <c r="S626">
        <f t="shared" si="36"/>
        <v>46</v>
      </c>
      <c r="T626" t="str">
        <f t="shared" si="38"/>
        <v>Reorder Required</v>
      </c>
    </row>
    <row r="627" spans="1:20" x14ac:dyDescent="0.3">
      <c r="A627" t="s">
        <v>2323</v>
      </c>
      <c r="B627" t="s">
        <v>162</v>
      </c>
      <c r="C627" t="s">
        <v>47</v>
      </c>
      <c r="D627" t="s">
        <v>2324</v>
      </c>
      <c r="E627" t="s">
        <v>2325</v>
      </c>
      <c r="F627">
        <v>24</v>
      </c>
      <c r="G627">
        <v>21</v>
      </c>
      <c r="H627">
        <v>4</v>
      </c>
      <c r="I627" s="1">
        <v>6</v>
      </c>
      <c r="J627" s="2">
        <v>45387</v>
      </c>
      <c r="K627" s="2">
        <v>45470</v>
      </c>
      <c r="L627" s="2">
        <v>45593</v>
      </c>
      <c r="M627" t="s">
        <v>2326</v>
      </c>
      <c r="N627">
        <v>85</v>
      </c>
      <c r="O627">
        <v>17</v>
      </c>
      <c r="P627" t="s">
        <v>38</v>
      </c>
      <c r="Q627" t="str">
        <f t="shared" si="39"/>
        <v>OK</v>
      </c>
      <c r="R627" s="3">
        <f t="shared" si="37"/>
        <v>144</v>
      </c>
      <c r="S627">
        <f t="shared" si="36"/>
        <v>0</v>
      </c>
      <c r="T627" t="str">
        <f t="shared" si="38"/>
        <v>Sufficient Stock</v>
      </c>
    </row>
    <row r="628" spans="1:20" x14ac:dyDescent="0.3">
      <c r="A628" t="s">
        <v>2327</v>
      </c>
      <c r="B628" t="s">
        <v>201</v>
      </c>
      <c r="C628" t="s">
        <v>47</v>
      </c>
      <c r="D628" t="s">
        <v>2328</v>
      </c>
      <c r="E628" t="s">
        <v>840</v>
      </c>
      <c r="F628">
        <v>16</v>
      </c>
      <c r="G628">
        <v>75</v>
      </c>
      <c r="H628">
        <v>42</v>
      </c>
      <c r="I628" s="1">
        <v>2</v>
      </c>
      <c r="J628" s="2">
        <v>45496</v>
      </c>
      <c r="K628" s="2">
        <v>45372</v>
      </c>
      <c r="L628" s="2">
        <v>45436</v>
      </c>
      <c r="M628" t="s">
        <v>2329</v>
      </c>
      <c r="N628">
        <v>22</v>
      </c>
      <c r="O628">
        <v>46</v>
      </c>
      <c r="P628" t="s">
        <v>44</v>
      </c>
      <c r="Q628" t="str">
        <f t="shared" si="39"/>
        <v>Expiry before Received</v>
      </c>
      <c r="R628" s="3">
        <f t="shared" si="37"/>
        <v>32</v>
      </c>
      <c r="S628">
        <f t="shared" si="36"/>
        <v>59</v>
      </c>
      <c r="T628" t="str">
        <f t="shared" si="38"/>
        <v>Reorder Required</v>
      </c>
    </row>
    <row r="629" spans="1:20" x14ac:dyDescent="0.3">
      <c r="A629" t="s">
        <v>2330</v>
      </c>
      <c r="B629" t="s">
        <v>537</v>
      </c>
      <c r="C629" t="s">
        <v>47</v>
      </c>
      <c r="D629" t="s">
        <v>2331</v>
      </c>
      <c r="E629" t="s">
        <v>2332</v>
      </c>
      <c r="F629">
        <v>39</v>
      </c>
      <c r="G629">
        <v>19</v>
      </c>
      <c r="H629">
        <v>18</v>
      </c>
      <c r="I629" s="1">
        <v>13.99</v>
      </c>
      <c r="J629" s="2">
        <v>45381</v>
      </c>
      <c r="K629" s="2">
        <v>45491</v>
      </c>
      <c r="L629" s="2">
        <v>45677</v>
      </c>
      <c r="M629" t="s">
        <v>2333</v>
      </c>
      <c r="N629">
        <v>58</v>
      </c>
      <c r="O629">
        <v>90</v>
      </c>
      <c r="P629" t="s">
        <v>44</v>
      </c>
      <c r="Q629" t="str">
        <f t="shared" si="39"/>
        <v>OK</v>
      </c>
      <c r="R629" s="3">
        <f t="shared" si="37"/>
        <v>545.61</v>
      </c>
      <c r="S629">
        <f t="shared" si="36"/>
        <v>0</v>
      </c>
      <c r="T629" t="str">
        <f t="shared" si="38"/>
        <v>Sufficient Stock</v>
      </c>
    </row>
    <row r="630" spans="1:20" x14ac:dyDescent="0.3">
      <c r="A630" t="s">
        <v>2334</v>
      </c>
      <c r="B630" t="s">
        <v>214</v>
      </c>
      <c r="C630" t="s">
        <v>47</v>
      </c>
      <c r="D630" t="s">
        <v>2335</v>
      </c>
      <c r="E630" t="s">
        <v>2336</v>
      </c>
      <c r="F630">
        <v>89</v>
      </c>
      <c r="G630">
        <v>56</v>
      </c>
      <c r="H630">
        <v>74</v>
      </c>
      <c r="I630" s="1">
        <v>2.5</v>
      </c>
      <c r="J630" s="2">
        <v>45606</v>
      </c>
      <c r="K630" s="2">
        <v>45503</v>
      </c>
      <c r="L630" s="2">
        <v>45566</v>
      </c>
      <c r="M630" t="s">
        <v>2337</v>
      </c>
      <c r="N630">
        <v>27</v>
      </c>
      <c r="O630">
        <v>51</v>
      </c>
      <c r="P630" t="s">
        <v>38</v>
      </c>
      <c r="Q630" t="str">
        <f t="shared" si="39"/>
        <v>Expiry before Received</v>
      </c>
      <c r="R630" s="3">
        <f t="shared" si="37"/>
        <v>222.5</v>
      </c>
      <c r="S630">
        <f t="shared" si="36"/>
        <v>0</v>
      </c>
      <c r="T630" t="str">
        <f t="shared" si="38"/>
        <v>Sufficient Stock</v>
      </c>
    </row>
    <row r="631" spans="1:20" x14ac:dyDescent="0.3">
      <c r="A631" t="s">
        <v>2338</v>
      </c>
      <c r="B631" t="s">
        <v>2257</v>
      </c>
      <c r="C631" t="s">
        <v>47</v>
      </c>
      <c r="D631" t="s">
        <v>2339</v>
      </c>
      <c r="E631" t="s">
        <v>1311</v>
      </c>
      <c r="F631">
        <v>57</v>
      </c>
      <c r="G631">
        <v>82</v>
      </c>
      <c r="H631">
        <v>59</v>
      </c>
      <c r="I631" s="1">
        <v>8</v>
      </c>
      <c r="J631" s="2">
        <v>45545</v>
      </c>
      <c r="K631" s="2">
        <v>45616</v>
      </c>
      <c r="L631" s="2">
        <v>45454</v>
      </c>
      <c r="M631" t="s">
        <v>2340</v>
      </c>
      <c r="N631">
        <v>44</v>
      </c>
      <c r="O631">
        <v>57</v>
      </c>
      <c r="P631" t="s">
        <v>44</v>
      </c>
      <c r="Q631" t="str">
        <f t="shared" si="39"/>
        <v>Expiry before Received</v>
      </c>
      <c r="R631" s="3">
        <f t="shared" si="37"/>
        <v>456</v>
      </c>
      <c r="S631">
        <f t="shared" si="36"/>
        <v>25</v>
      </c>
      <c r="T631" t="str">
        <f t="shared" si="38"/>
        <v>Reorder Required</v>
      </c>
    </row>
    <row r="632" spans="1:20" x14ac:dyDescent="0.3">
      <c r="A632" t="s">
        <v>2341</v>
      </c>
      <c r="B632" t="s">
        <v>191</v>
      </c>
      <c r="C632" t="s">
        <v>29</v>
      </c>
      <c r="D632" t="s">
        <v>2342</v>
      </c>
      <c r="E632" t="s">
        <v>2343</v>
      </c>
      <c r="F632">
        <v>61</v>
      </c>
      <c r="G632">
        <v>22</v>
      </c>
      <c r="H632">
        <v>98</v>
      </c>
      <c r="I632" s="1">
        <v>30</v>
      </c>
      <c r="J632" s="2">
        <v>45358</v>
      </c>
      <c r="K632" s="2">
        <v>45567</v>
      </c>
      <c r="L632" s="2">
        <v>45605</v>
      </c>
      <c r="M632" t="s">
        <v>2344</v>
      </c>
      <c r="N632">
        <v>90</v>
      </c>
      <c r="O632">
        <v>11</v>
      </c>
      <c r="P632" t="s">
        <v>44</v>
      </c>
      <c r="Q632" t="str">
        <f t="shared" si="39"/>
        <v>OK</v>
      </c>
      <c r="R632" s="3">
        <f t="shared" si="37"/>
        <v>1830</v>
      </c>
      <c r="S632">
        <f t="shared" si="36"/>
        <v>0</v>
      </c>
      <c r="T632" t="str">
        <f t="shared" si="38"/>
        <v>Sufficient Stock</v>
      </c>
    </row>
    <row r="633" spans="1:20" x14ac:dyDescent="0.3">
      <c r="A633" t="s">
        <v>2345</v>
      </c>
      <c r="B633" t="s">
        <v>219</v>
      </c>
      <c r="C633" t="s">
        <v>22</v>
      </c>
      <c r="D633" t="s">
        <v>2346</v>
      </c>
      <c r="E633" t="s">
        <v>797</v>
      </c>
      <c r="F633">
        <v>56</v>
      </c>
      <c r="G633">
        <v>28</v>
      </c>
      <c r="H633">
        <v>76</v>
      </c>
      <c r="I633" s="1">
        <v>3</v>
      </c>
      <c r="J633" s="2">
        <v>45590</v>
      </c>
      <c r="K633" s="2">
        <v>45692</v>
      </c>
      <c r="L633" s="2">
        <v>45537</v>
      </c>
      <c r="M633" t="s">
        <v>2347</v>
      </c>
      <c r="N633">
        <v>93</v>
      </c>
      <c r="O633">
        <v>69</v>
      </c>
      <c r="P633" t="s">
        <v>44</v>
      </c>
      <c r="Q633" t="str">
        <f t="shared" si="39"/>
        <v>Expiry before Received</v>
      </c>
      <c r="R633" s="3">
        <f t="shared" si="37"/>
        <v>168</v>
      </c>
      <c r="S633">
        <f t="shared" si="36"/>
        <v>0</v>
      </c>
      <c r="T633" t="str">
        <f t="shared" si="38"/>
        <v>Sufficient Stock</v>
      </c>
    </row>
    <row r="634" spans="1:20" x14ac:dyDescent="0.3">
      <c r="A634" t="s">
        <v>2348</v>
      </c>
      <c r="B634" t="s">
        <v>407</v>
      </c>
      <c r="C634" t="s">
        <v>64</v>
      </c>
      <c r="D634" t="s">
        <v>2349</v>
      </c>
      <c r="E634" t="s">
        <v>972</v>
      </c>
      <c r="F634">
        <v>21</v>
      </c>
      <c r="G634">
        <v>24</v>
      </c>
      <c r="H634">
        <v>2</v>
      </c>
      <c r="I634" s="1">
        <v>2.35</v>
      </c>
      <c r="J634" s="2">
        <v>45387</v>
      </c>
      <c r="K634" s="2">
        <v>45546</v>
      </c>
      <c r="L634" s="2">
        <v>45563</v>
      </c>
      <c r="M634" t="s">
        <v>2350</v>
      </c>
      <c r="N634">
        <v>87</v>
      </c>
      <c r="O634">
        <v>36</v>
      </c>
      <c r="P634" t="s">
        <v>38</v>
      </c>
      <c r="Q634" t="str">
        <f t="shared" si="39"/>
        <v>OK</v>
      </c>
      <c r="R634" s="3">
        <f t="shared" si="37"/>
        <v>49.35</v>
      </c>
      <c r="S634">
        <f t="shared" si="36"/>
        <v>3</v>
      </c>
      <c r="T634" t="str">
        <f t="shared" si="38"/>
        <v>Reorder Required</v>
      </c>
    </row>
    <row r="635" spans="1:20" x14ac:dyDescent="0.3">
      <c r="A635" t="s">
        <v>2351</v>
      </c>
      <c r="B635" t="s">
        <v>1125</v>
      </c>
      <c r="C635" t="s">
        <v>47</v>
      </c>
      <c r="D635" t="s">
        <v>2352</v>
      </c>
      <c r="E635" t="s">
        <v>2353</v>
      </c>
      <c r="F635">
        <v>59</v>
      </c>
      <c r="G635">
        <v>29</v>
      </c>
      <c r="H635">
        <v>100</v>
      </c>
      <c r="I635" s="1">
        <v>5.5</v>
      </c>
      <c r="J635" s="2">
        <v>45386</v>
      </c>
      <c r="K635" s="2">
        <v>45625</v>
      </c>
      <c r="L635" s="2">
        <v>45658</v>
      </c>
      <c r="M635" t="s">
        <v>2354</v>
      </c>
      <c r="N635">
        <v>74</v>
      </c>
      <c r="O635">
        <v>16</v>
      </c>
      <c r="P635" t="s">
        <v>26</v>
      </c>
      <c r="Q635" t="str">
        <f t="shared" si="39"/>
        <v>OK</v>
      </c>
      <c r="R635" s="3">
        <f t="shared" si="37"/>
        <v>324.5</v>
      </c>
      <c r="S635">
        <f t="shared" si="36"/>
        <v>0</v>
      </c>
      <c r="T635" t="str">
        <f t="shared" si="38"/>
        <v>Sufficient Stock</v>
      </c>
    </row>
    <row r="636" spans="1:20" x14ac:dyDescent="0.3">
      <c r="A636" t="s">
        <v>2355</v>
      </c>
      <c r="B636" t="s">
        <v>286</v>
      </c>
      <c r="C636" t="s">
        <v>29</v>
      </c>
      <c r="D636" t="s">
        <v>2356</v>
      </c>
      <c r="E636" t="s">
        <v>207</v>
      </c>
      <c r="F636">
        <v>20</v>
      </c>
      <c r="G636">
        <v>68</v>
      </c>
      <c r="H636">
        <v>20</v>
      </c>
      <c r="I636" s="1">
        <v>12</v>
      </c>
      <c r="J636" s="2">
        <v>45666</v>
      </c>
      <c r="K636" s="2">
        <v>45477</v>
      </c>
      <c r="L636" s="2">
        <v>45598</v>
      </c>
      <c r="M636" t="s">
        <v>2357</v>
      </c>
      <c r="N636">
        <v>38</v>
      </c>
      <c r="O636">
        <v>51</v>
      </c>
      <c r="P636" t="s">
        <v>44</v>
      </c>
      <c r="Q636" t="str">
        <f t="shared" si="39"/>
        <v>Expiry before Received</v>
      </c>
      <c r="R636" s="3">
        <f t="shared" si="37"/>
        <v>240</v>
      </c>
      <c r="S636">
        <f t="shared" si="36"/>
        <v>48</v>
      </c>
      <c r="T636" t="str">
        <f t="shared" si="38"/>
        <v>Reorder Required</v>
      </c>
    </row>
    <row r="637" spans="1:20" x14ac:dyDescent="0.3">
      <c r="A637" t="s">
        <v>2358</v>
      </c>
      <c r="B637" t="s">
        <v>88</v>
      </c>
      <c r="C637" t="s">
        <v>89</v>
      </c>
      <c r="D637" t="s">
        <v>2359</v>
      </c>
      <c r="E637" t="s">
        <v>889</v>
      </c>
      <c r="F637">
        <v>99</v>
      </c>
      <c r="G637">
        <v>6</v>
      </c>
      <c r="H637">
        <v>88</v>
      </c>
      <c r="I637" s="1">
        <v>3</v>
      </c>
      <c r="J637" s="2">
        <v>45427</v>
      </c>
      <c r="K637" s="2">
        <v>45489</v>
      </c>
      <c r="L637" s="2">
        <v>45640</v>
      </c>
      <c r="M637" t="s">
        <v>2360</v>
      </c>
      <c r="N637">
        <v>49</v>
      </c>
      <c r="O637">
        <v>9</v>
      </c>
      <c r="P637" t="s">
        <v>44</v>
      </c>
      <c r="Q637" t="str">
        <f t="shared" si="39"/>
        <v>OK</v>
      </c>
      <c r="R637" s="3">
        <f t="shared" si="37"/>
        <v>297</v>
      </c>
      <c r="S637">
        <f t="shared" si="36"/>
        <v>0</v>
      </c>
      <c r="T637" t="str">
        <f t="shared" si="38"/>
        <v>Sufficient Stock</v>
      </c>
    </row>
    <row r="638" spans="1:20" x14ac:dyDescent="0.3">
      <c r="A638" t="s">
        <v>2361</v>
      </c>
      <c r="B638" t="s">
        <v>672</v>
      </c>
      <c r="C638" t="s">
        <v>29</v>
      </c>
      <c r="D638" t="s">
        <v>2362</v>
      </c>
      <c r="E638" t="s">
        <v>447</v>
      </c>
      <c r="F638">
        <v>24</v>
      </c>
      <c r="G638">
        <v>27</v>
      </c>
      <c r="H638">
        <v>35</v>
      </c>
      <c r="I638" s="1">
        <v>8</v>
      </c>
      <c r="J638" s="2">
        <v>45579</v>
      </c>
      <c r="K638" s="2">
        <v>45688</v>
      </c>
      <c r="L638" s="2">
        <v>45616</v>
      </c>
      <c r="M638" t="s">
        <v>2363</v>
      </c>
      <c r="N638">
        <v>49</v>
      </c>
      <c r="O638">
        <v>58</v>
      </c>
      <c r="P638" t="s">
        <v>44</v>
      </c>
      <c r="Q638" t="str">
        <f t="shared" si="39"/>
        <v>OK</v>
      </c>
      <c r="R638" s="3">
        <f t="shared" si="37"/>
        <v>192</v>
      </c>
      <c r="S638">
        <f t="shared" si="36"/>
        <v>3</v>
      </c>
      <c r="T638" t="str">
        <f t="shared" si="38"/>
        <v>Reorder Required</v>
      </c>
    </row>
    <row r="639" spans="1:20" x14ac:dyDescent="0.3">
      <c r="A639" t="s">
        <v>2364</v>
      </c>
      <c r="B639" t="s">
        <v>21</v>
      </c>
      <c r="C639" t="s">
        <v>22</v>
      </c>
      <c r="D639" t="s">
        <v>2365</v>
      </c>
      <c r="E639" t="s">
        <v>556</v>
      </c>
      <c r="F639">
        <v>78</v>
      </c>
      <c r="G639">
        <v>94</v>
      </c>
      <c r="H639">
        <v>7</v>
      </c>
      <c r="I639" s="1">
        <v>4.3499999999999996</v>
      </c>
      <c r="J639" s="2">
        <v>45541</v>
      </c>
      <c r="K639" s="2">
        <v>45599</v>
      </c>
      <c r="L639" s="2">
        <v>45434</v>
      </c>
      <c r="M639" t="s">
        <v>2366</v>
      </c>
      <c r="N639">
        <v>69</v>
      </c>
      <c r="O639">
        <v>40</v>
      </c>
      <c r="P639" t="s">
        <v>38</v>
      </c>
      <c r="Q639" t="str">
        <f t="shared" si="39"/>
        <v>Expiry before Received</v>
      </c>
      <c r="R639" s="3">
        <f t="shared" si="37"/>
        <v>339.29999999999995</v>
      </c>
      <c r="S639">
        <f t="shared" si="36"/>
        <v>16</v>
      </c>
      <c r="T639" t="str">
        <f t="shared" si="38"/>
        <v>Reorder Required</v>
      </c>
    </row>
    <row r="640" spans="1:20" x14ac:dyDescent="0.3">
      <c r="A640" t="s">
        <v>2367</v>
      </c>
      <c r="B640" t="s">
        <v>74</v>
      </c>
      <c r="C640" t="s">
        <v>64</v>
      </c>
      <c r="D640" t="s">
        <v>2368</v>
      </c>
      <c r="E640" t="s">
        <v>80</v>
      </c>
      <c r="F640">
        <v>52</v>
      </c>
      <c r="G640">
        <v>31</v>
      </c>
      <c r="H640">
        <v>18</v>
      </c>
      <c r="I640" s="1">
        <v>1</v>
      </c>
      <c r="J640" s="2">
        <v>45410</v>
      </c>
      <c r="K640" s="2">
        <v>45617</v>
      </c>
      <c r="L640" s="2">
        <v>45690</v>
      </c>
      <c r="M640" t="s">
        <v>2369</v>
      </c>
      <c r="N640">
        <v>77</v>
      </c>
      <c r="O640">
        <v>16</v>
      </c>
      <c r="P640" t="s">
        <v>38</v>
      </c>
      <c r="Q640" t="str">
        <f t="shared" si="39"/>
        <v>OK</v>
      </c>
      <c r="R640" s="3">
        <f t="shared" si="37"/>
        <v>52</v>
      </c>
      <c r="S640">
        <f t="shared" si="36"/>
        <v>0</v>
      </c>
      <c r="T640" t="str">
        <f t="shared" si="38"/>
        <v>Sufficient Stock</v>
      </c>
    </row>
    <row r="641" spans="1:20" x14ac:dyDescent="0.3">
      <c r="A641" t="s">
        <v>2370</v>
      </c>
      <c r="B641" t="s">
        <v>126</v>
      </c>
      <c r="C641" t="s">
        <v>47</v>
      </c>
      <c r="D641" t="s">
        <v>2371</v>
      </c>
      <c r="E641" t="s">
        <v>2372</v>
      </c>
      <c r="F641">
        <v>45</v>
      </c>
      <c r="G641">
        <v>70</v>
      </c>
      <c r="H641">
        <v>98</v>
      </c>
      <c r="I641" s="1">
        <v>2.4500000000000002</v>
      </c>
      <c r="J641" s="2">
        <v>45514</v>
      </c>
      <c r="K641" s="2">
        <v>45500</v>
      </c>
      <c r="L641" s="2">
        <v>45421</v>
      </c>
      <c r="M641" t="s">
        <v>2373</v>
      </c>
      <c r="N641">
        <v>25</v>
      </c>
      <c r="O641">
        <v>39</v>
      </c>
      <c r="P641" t="s">
        <v>38</v>
      </c>
      <c r="Q641" t="str">
        <f t="shared" si="39"/>
        <v>Expiry before Received</v>
      </c>
      <c r="R641" s="3">
        <f t="shared" si="37"/>
        <v>110.25000000000001</v>
      </c>
      <c r="S641">
        <f t="shared" si="36"/>
        <v>25</v>
      </c>
      <c r="T641" t="str">
        <f t="shared" si="38"/>
        <v>Reorder Required</v>
      </c>
    </row>
    <row r="642" spans="1:20" x14ac:dyDescent="0.3">
      <c r="A642" t="s">
        <v>2374</v>
      </c>
      <c r="B642" t="s">
        <v>1184</v>
      </c>
      <c r="C642" t="s">
        <v>47</v>
      </c>
      <c r="D642" t="s">
        <v>2375</v>
      </c>
      <c r="E642" t="s">
        <v>2376</v>
      </c>
      <c r="F642">
        <v>89</v>
      </c>
      <c r="G642">
        <v>35</v>
      </c>
      <c r="H642">
        <v>19</v>
      </c>
      <c r="I642" s="1">
        <v>5</v>
      </c>
      <c r="J642" s="2">
        <v>45688</v>
      </c>
      <c r="K642" s="2">
        <v>45573</v>
      </c>
      <c r="L642" s="2">
        <v>45419</v>
      </c>
      <c r="M642" t="s">
        <v>2377</v>
      </c>
      <c r="N642">
        <v>49</v>
      </c>
      <c r="O642">
        <v>55</v>
      </c>
      <c r="P642" t="s">
        <v>26</v>
      </c>
      <c r="Q642" t="str">
        <f t="shared" si="39"/>
        <v>Expiry before Received</v>
      </c>
      <c r="R642" s="3">
        <f t="shared" si="37"/>
        <v>445</v>
      </c>
      <c r="S642">
        <f t="shared" ref="S642:S705" si="40">MAX(0,G642-F642)</f>
        <v>0</v>
      </c>
      <c r="T642" t="str">
        <f t="shared" si="38"/>
        <v>Sufficient Stock</v>
      </c>
    </row>
    <row r="643" spans="1:20" x14ac:dyDescent="0.3">
      <c r="A643" t="s">
        <v>2378</v>
      </c>
      <c r="B643" t="s">
        <v>256</v>
      </c>
      <c r="C643" t="s">
        <v>47</v>
      </c>
      <c r="D643" t="s">
        <v>2379</v>
      </c>
      <c r="E643" t="s">
        <v>91</v>
      </c>
      <c r="F643">
        <v>63</v>
      </c>
      <c r="G643">
        <v>57</v>
      </c>
      <c r="H643">
        <v>11</v>
      </c>
      <c r="I643" s="1">
        <v>5.8</v>
      </c>
      <c r="J643" s="2">
        <v>45668</v>
      </c>
      <c r="K643" s="2">
        <v>45649</v>
      </c>
      <c r="L643" s="2">
        <v>45422</v>
      </c>
      <c r="M643" t="s">
        <v>2380</v>
      </c>
      <c r="N643">
        <v>20</v>
      </c>
      <c r="O643">
        <v>100</v>
      </c>
      <c r="P643" t="s">
        <v>26</v>
      </c>
      <c r="Q643" t="str">
        <f t="shared" si="39"/>
        <v>Expiry before Received</v>
      </c>
      <c r="R643" s="3">
        <f t="shared" ref="R643:R706" si="41">F643*I643</f>
        <v>365.4</v>
      </c>
      <c r="S643">
        <f t="shared" si="40"/>
        <v>0</v>
      </c>
      <c r="T643" t="str">
        <f t="shared" ref="T643:T706" si="42">IF(F643&lt;G643,"Reorder Required","Sufficient Stock")</f>
        <v>Sufficient Stock</v>
      </c>
    </row>
    <row r="644" spans="1:20" x14ac:dyDescent="0.3">
      <c r="A644" t="s">
        <v>2381</v>
      </c>
      <c r="B644" t="s">
        <v>34</v>
      </c>
      <c r="C644" t="s">
        <v>22</v>
      </c>
      <c r="D644" t="s">
        <v>2382</v>
      </c>
      <c r="E644" t="s">
        <v>1659</v>
      </c>
      <c r="F644">
        <v>49</v>
      </c>
      <c r="G644">
        <v>3</v>
      </c>
      <c r="H644">
        <v>7</v>
      </c>
      <c r="I644" s="1">
        <v>6.25</v>
      </c>
      <c r="J644" s="2">
        <v>45554</v>
      </c>
      <c r="K644" s="2">
        <v>45596</v>
      </c>
      <c r="L644" s="2">
        <v>45364</v>
      </c>
      <c r="M644" t="s">
        <v>2383</v>
      </c>
      <c r="N644">
        <v>75</v>
      </c>
      <c r="O644">
        <v>46</v>
      </c>
      <c r="P644" t="s">
        <v>38</v>
      </c>
      <c r="Q644" t="str">
        <f t="shared" si="39"/>
        <v>Expiry before Received</v>
      </c>
      <c r="R644" s="3">
        <f t="shared" si="41"/>
        <v>306.25</v>
      </c>
      <c r="S644">
        <f t="shared" si="40"/>
        <v>0</v>
      </c>
      <c r="T644" t="str">
        <f t="shared" si="42"/>
        <v>Sufficient Stock</v>
      </c>
    </row>
    <row r="645" spans="1:20" x14ac:dyDescent="0.3">
      <c r="A645" t="s">
        <v>2384</v>
      </c>
      <c r="B645" t="s">
        <v>672</v>
      </c>
      <c r="C645" t="s">
        <v>29</v>
      </c>
      <c r="D645" t="s">
        <v>2385</v>
      </c>
      <c r="E645" t="s">
        <v>485</v>
      </c>
      <c r="F645">
        <v>26</v>
      </c>
      <c r="G645">
        <v>59</v>
      </c>
      <c r="H645">
        <v>54</v>
      </c>
      <c r="I645" s="1">
        <v>8</v>
      </c>
      <c r="J645" s="2">
        <v>45514</v>
      </c>
      <c r="K645" s="2">
        <v>45620</v>
      </c>
      <c r="L645" s="2">
        <v>45370</v>
      </c>
      <c r="M645" t="s">
        <v>2386</v>
      </c>
      <c r="N645">
        <v>92</v>
      </c>
      <c r="O645">
        <v>49</v>
      </c>
      <c r="P645" t="s">
        <v>44</v>
      </c>
      <c r="Q645" t="str">
        <f t="shared" si="39"/>
        <v>Expiry before Received</v>
      </c>
      <c r="R645" s="3">
        <f t="shared" si="41"/>
        <v>208</v>
      </c>
      <c r="S645">
        <f t="shared" si="40"/>
        <v>33</v>
      </c>
      <c r="T645" t="str">
        <f t="shared" si="42"/>
        <v>Reorder Required</v>
      </c>
    </row>
    <row r="646" spans="1:20" x14ac:dyDescent="0.3">
      <c r="A646" t="s">
        <v>2387</v>
      </c>
      <c r="B646" t="s">
        <v>157</v>
      </c>
      <c r="C646" t="s">
        <v>64</v>
      </c>
      <c r="D646" t="s">
        <v>2388</v>
      </c>
      <c r="E646" t="s">
        <v>2389</v>
      </c>
      <c r="F646">
        <v>93</v>
      </c>
      <c r="G646">
        <v>68</v>
      </c>
      <c r="H646">
        <v>71</v>
      </c>
      <c r="I646" s="1">
        <v>0.8</v>
      </c>
      <c r="J646" s="2">
        <v>45697</v>
      </c>
      <c r="K646" s="2">
        <v>45362</v>
      </c>
      <c r="L646" s="2">
        <v>45552</v>
      </c>
      <c r="M646" t="s">
        <v>2390</v>
      </c>
      <c r="N646">
        <v>30</v>
      </c>
      <c r="O646">
        <v>37</v>
      </c>
      <c r="P646" t="s">
        <v>26</v>
      </c>
      <c r="Q646" t="str">
        <f t="shared" si="39"/>
        <v>Expiry before Received</v>
      </c>
      <c r="R646" s="3">
        <f t="shared" si="41"/>
        <v>74.400000000000006</v>
      </c>
      <c r="S646">
        <f t="shared" si="40"/>
        <v>0</v>
      </c>
      <c r="T646" t="str">
        <f t="shared" si="42"/>
        <v>Sufficient Stock</v>
      </c>
    </row>
    <row r="647" spans="1:20" x14ac:dyDescent="0.3">
      <c r="A647" t="s">
        <v>2391</v>
      </c>
      <c r="B647" t="s">
        <v>1205</v>
      </c>
      <c r="C647" t="s">
        <v>47</v>
      </c>
      <c r="D647" t="s">
        <v>2392</v>
      </c>
      <c r="E647" t="s">
        <v>42</v>
      </c>
      <c r="F647">
        <v>81</v>
      </c>
      <c r="G647">
        <v>16</v>
      </c>
      <c r="H647">
        <v>69</v>
      </c>
      <c r="I647" s="1">
        <v>4.3</v>
      </c>
      <c r="J647" s="2">
        <v>45663</v>
      </c>
      <c r="K647" s="2">
        <v>45508</v>
      </c>
      <c r="L647" s="2">
        <v>45498</v>
      </c>
      <c r="M647" t="s">
        <v>2393</v>
      </c>
      <c r="N647">
        <v>23</v>
      </c>
      <c r="O647">
        <v>96</v>
      </c>
      <c r="P647" t="s">
        <v>38</v>
      </c>
      <c r="Q647" t="str">
        <f t="shared" ref="Q647:Q710" si="43">IF(L647&lt;J647,"Expiry before Received",IF(K647&lt;J647,"Last Order before Received","OK"))</f>
        <v>Expiry before Received</v>
      </c>
      <c r="R647" s="3">
        <f t="shared" si="41"/>
        <v>348.3</v>
      </c>
      <c r="S647">
        <f t="shared" si="40"/>
        <v>0</v>
      </c>
      <c r="T647" t="str">
        <f t="shared" si="42"/>
        <v>Sufficient Stock</v>
      </c>
    </row>
    <row r="648" spans="1:20" x14ac:dyDescent="0.3">
      <c r="A648" t="s">
        <v>2394</v>
      </c>
      <c r="B648" t="s">
        <v>363</v>
      </c>
      <c r="C648" t="s">
        <v>64</v>
      </c>
      <c r="D648" t="s">
        <v>2395</v>
      </c>
      <c r="E648" t="s">
        <v>1261</v>
      </c>
      <c r="F648">
        <v>74</v>
      </c>
      <c r="G648">
        <v>60</v>
      </c>
      <c r="H648">
        <v>27</v>
      </c>
      <c r="I648" s="1">
        <v>4</v>
      </c>
      <c r="J648" s="2">
        <v>45460</v>
      </c>
      <c r="K648" s="2">
        <v>45434</v>
      </c>
      <c r="L648" s="2">
        <v>45613</v>
      </c>
      <c r="M648" t="s">
        <v>2396</v>
      </c>
      <c r="N648">
        <v>99</v>
      </c>
      <c r="O648">
        <v>68</v>
      </c>
      <c r="P648" t="s">
        <v>38</v>
      </c>
      <c r="Q648" t="str">
        <f t="shared" si="43"/>
        <v>Last Order before Received</v>
      </c>
      <c r="R648" s="3">
        <f t="shared" si="41"/>
        <v>296</v>
      </c>
      <c r="S648">
        <f t="shared" si="40"/>
        <v>0</v>
      </c>
      <c r="T648" t="str">
        <f t="shared" si="42"/>
        <v>Sufficient Stock</v>
      </c>
    </row>
    <row r="649" spans="1:20" x14ac:dyDescent="0.3">
      <c r="A649" t="s">
        <v>2397</v>
      </c>
      <c r="B649" t="s">
        <v>316</v>
      </c>
      <c r="C649" t="s">
        <v>29</v>
      </c>
      <c r="D649" t="s">
        <v>2398</v>
      </c>
      <c r="E649" t="s">
        <v>128</v>
      </c>
      <c r="F649">
        <v>19</v>
      </c>
      <c r="G649">
        <v>78</v>
      </c>
      <c r="H649">
        <v>90</v>
      </c>
      <c r="I649" s="1">
        <v>5</v>
      </c>
      <c r="J649" s="2">
        <v>45650</v>
      </c>
      <c r="K649" s="2">
        <v>45397</v>
      </c>
      <c r="L649" s="2">
        <v>45502</v>
      </c>
      <c r="M649" t="s">
        <v>2399</v>
      </c>
      <c r="N649">
        <v>72</v>
      </c>
      <c r="O649">
        <v>84</v>
      </c>
      <c r="P649" t="s">
        <v>26</v>
      </c>
      <c r="Q649" t="str">
        <f t="shared" si="43"/>
        <v>Expiry before Received</v>
      </c>
      <c r="R649" s="3">
        <f t="shared" si="41"/>
        <v>95</v>
      </c>
      <c r="S649">
        <f t="shared" si="40"/>
        <v>59</v>
      </c>
      <c r="T649" t="str">
        <f t="shared" si="42"/>
        <v>Reorder Required</v>
      </c>
    </row>
    <row r="650" spans="1:20" x14ac:dyDescent="0.3">
      <c r="A650" t="s">
        <v>2400</v>
      </c>
      <c r="B650" t="s">
        <v>219</v>
      </c>
      <c r="C650" t="s">
        <v>22</v>
      </c>
      <c r="D650" t="s">
        <v>2401</v>
      </c>
      <c r="E650" t="s">
        <v>907</v>
      </c>
      <c r="F650">
        <v>64</v>
      </c>
      <c r="G650">
        <v>97</v>
      </c>
      <c r="H650">
        <v>91</v>
      </c>
      <c r="I650" s="1">
        <v>3</v>
      </c>
      <c r="J650" s="2">
        <v>45621</v>
      </c>
      <c r="K650" s="2">
        <v>45524</v>
      </c>
      <c r="L650" s="2">
        <v>45506</v>
      </c>
      <c r="M650" t="s">
        <v>2402</v>
      </c>
      <c r="N650">
        <v>48</v>
      </c>
      <c r="O650">
        <v>100</v>
      </c>
      <c r="P650" t="s">
        <v>44</v>
      </c>
      <c r="Q650" t="str">
        <f t="shared" si="43"/>
        <v>Expiry before Received</v>
      </c>
      <c r="R650" s="3">
        <f t="shared" si="41"/>
        <v>192</v>
      </c>
      <c r="S650">
        <f t="shared" si="40"/>
        <v>33</v>
      </c>
      <c r="T650" t="str">
        <f t="shared" si="42"/>
        <v>Reorder Required</v>
      </c>
    </row>
    <row r="651" spans="1:20" x14ac:dyDescent="0.3">
      <c r="A651" t="s">
        <v>2403</v>
      </c>
      <c r="B651" t="s">
        <v>368</v>
      </c>
      <c r="C651" t="s">
        <v>47</v>
      </c>
      <c r="D651" t="s">
        <v>2404</v>
      </c>
      <c r="E651" t="s">
        <v>1108</v>
      </c>
      <c r="F651">
        <v>49</v>
      </c>
      <c r="G651">
        <v>93</v>
      </c>
      <c r="H651">
        <v>15</v>
      </c>
      <c r="I651" s="1">
        <v>4.5</v>
      </c>
      <c r="J651" s="2">
        <v>45409</v>
      </c>
      <c r="K651" s="2">
        <v>45413</v>
      </c>
      <c r="L651" s="2">
        <v>45409</v>
      </c>
      <c r="M651" t="s">
        <v>2405</v>
      </c>
      <c r="N651">
        <v>52</v>
      </c>
      <c r="O651">
        <v>31</v>
      </c>
      <c r="P651" t="s">
        <v>38</v>
      </c>
      <c r="Q651" t="str">
        <f t="shared" si="43"/>
        <v>OK</v>
      </c>
      <c r="R651" s="3">
        <f t="shared" si="41"/>
        <v>220.5</v>
      </c>
      <c r="S651">
        <f t="shared" si="40"/>
        <v>44</v>
      </c>
      <c r="T651" t="str">
        <f t="shared" si="42"/>
        <v>Reorder Required</v>
      </c>
    </row>
    <row r="652" spans="1:20" x14ac:dyDescent="0.3">
      <c r="A652" t="s">
        <v>2406</v>
      </c>
      <c r="B652" t="s">
        <v>147</v>
      </c>
      <c r="C652" t="s">
        <v>64</v>
      </c>
      <c r="D652" t="s">
        <v>2407</v>
      </c>
      <c r="E652" t="s">
        <v>1866</v>
      </c>
      <c r="F652">
        <v>99</v>
      </c>
      <c r="G652">
        <v>10</v>
      </c>
      <c r="H652">
        <v>88</v>
      </c>
      <c r="I652" s="1">
        <v>12</v>
      </c>
      <c r="J652" s="2">
        <v>45487</v>
      </c>
      <c r="K652" s="2">
        <v>45631</v>
      </c>
      <c r="L652" s="2">
        <v>45677</v>
      </c>
      <c r="M652" t="s">
        <v>2408</v>
      </c>
      <c r="N652">
        <v>69</v>
      </c>
      <c r="O652">
        <v>98</v>
      </c>
      <c r="P652" t="s">
        <v>44</v>
      </c>
      <c r="Q652" t="str">
        <f t="shared" si="43"/>
        <v>OK</v>
      </c>
      <c r="R652" s="3">
        <f t="shared" si="41"/>
        <v>1188</v>
      </c>
      <c r="S652">
        <f t="shared" si="40"/>
        <v>0</v>
      </c>
      <c r="T652" t="str">
        <f t="shared" si="42"/>
        <v>Sufficient Stock</v>
      </c>
    </row>
    <row r="653" spans="1:20" x14ac:dyDescent="0.3">
      <c r="A653" t="s">
        <v>2409</v>
      </c>
      <c r="B653" t="s">
        <v>629</v>
      </c>
      <c r="C653" t="s">
        <v>64</v>
      </c>
      <c r="D653" t="s">
        <v>2410</v>
      </c>
      <c r="E653" t="s">
        <v>830</v>
      </c>
      <c r="F653">
        <v>60</v>
      </c>
      <c r="G653">
        <v>1</v>
      </c>
      <c r="H653">
        <v>42</v>
      </c>
      <c r="I653" s="1">
        <v>2.4500000000000002</v>
      </c>
      <c r="J653" s="2">
        <v>45612</v>
      </c>
      <c r="K653" s="2">
        <v>45531</v>
      </c>
      <c r="L653" s="2">
        <v>45580</v>
      </c>
      <c r="M653" t="s">
        <v>2411</v>
      </c>
      <c r="N653">
        <v>42</v>
      </c>
      <c r="O653">
        <v>91</v>
      </c>
      <c r="P653" t="s">
        <v>44</v>
      </c>
      <c r="Q653" t="str">
        <f t="shared" si="43"/>
        <v>Expiry before Received</v>
      </c>
      <c r="R653" s="3">
        <f t="shared" si="41"/>
        <v>147</v>
      </c>
      <c r="S653">
        <f t="shared" si="40"/>
        <v>0</v>
      </c>
      <c r="T653" t="str">
        <f t="shared" si="42"/>
        <v>Sufficient Stock</v>
      </c>
    </row>
    <row r="654" spans="1:20" x14ac:dyDescent="0.3">
      <c r="A654" t="s">
        <v>2412</v>
      </c>
      <c r="B654" t="s">
        <v>142</v>
      </c>
      <c r="C654" t="s">
        <v>47</v>
      </c>
      <c r="D654" t="s">
        <v>2413</v>
      </c>
      <c r="E654" t="s">
        <v>481</v>
      </c>
      <c r="F654">
        <v>90</v>
      </c>
      <c r="G654">
        <v>1</v>
      </c>
      <c r="H654">
        <v>40</v>
      </c>
      <c r="I654" s="1">
        <v>0.9</v>
      </c>
      <c r="J654" s="2">
        <v>45585</v>
      </c>
      <c r="K654" s="2">
        <v>45668</v>
      </c>
      <c r="L654" s="2">
        <v>45704</v>
      </c>
      <c r="M654" t="s">
        <v>2414</v>
      </c>
      <c r="N654">
        <v>52</v>
      </c>
      <c r="O654">
        <v>19</v>
      </c>
      <c r="P654" t="s">
        <v>26</v>
      </c>
      <c r="Q654" t="str">
        <f t="shared" si="43"/>
        <v>OK</v>
      </c>
      <c r="R654" s="3">
        <f t="shared" si="41"/>
        <v>81</v>
      </c>
      <c r="S654">
        <f t="shared" si="40"/>
        <v>0</v>
      </c>
      <c r="T654" t="str">
        <f t="shared" si="42"/>
        <v>Sufficient Stock</v>
      </c>
    </row>
    <row r="655" spans="1:20" x14ac:dyDescent="0.3">
      <c r="A655" t="s">
        <v>2415</v>
      </c>
      <c r="B655" t="s">
        <v>196</v>
      </c>
      <c r="C655" t="s">
        <v>132</v>
      </c>
      <c r="D655" t="s">
        <v>2416</v>
      </c>
      <c r="E655" t="s">
        <v>221</v>
      </c>
      <c r="F655">
        <v>79</v>
      </c>
      <c r="G655">
        <v>53</v>
      </c>
      <c r="H655">
        <v>12</v>
      </c>
      <c r="I655" s="1">
        <v>9</v>
      </c>
      <c r="J655" s="2">
        <v>45522</v>
      </c>
      <c r="K655" s="2">
        <v>45441</v>
      </c>
      <c r="L655" s="2">
        <v>45667</v>
      </c>
      <c r="M655" t="s">
        <v>2417</v>
      </c>
      <c r="N655">
        <v>45</v>
      </c>
      <c r="O655">
        <v>95</v>
      </c>
      <c r="P655" t="s">
        <v>26</v>
      </c>
      <c r="Q655" t="str">
        <f t="shared" si="43"/>
        <v>Last Order before Received</v>
      </c>
      <c r="R655" s="3">
        <f t="shared" si="41"/>
        <v>711</v>
      </c>
      <c r="S655">
        <f t="shared" si="40"/>
        <v>0</v>
      </c>
      <c r="T655" t="str">
        <f t="shared" si="42"/>
        <v>Sufficient Stock</v>
      </c>
    </row>
    <row r="656" spans="1:20" x14ac:dyDescent="0.3">
      <c r="A656" t="s">
        <v>2418</v>
      </c>
      <c r="B656" t="s">
        <v>2288</v>
      </c>
      <c r="C656" t="s">
        <v>64</v>
      </c>
      <c r="D656" t="s">
        <v>2419</v>
      </c>
      <c r="E656" t="s">
        <v>730</v>
      </c>
      <c r="F656">
        <v>22</v>
      </c>
      <c r="G656">
        <v>58</v>
      </c>
      <c r="H656">
        <v>2</v>
      </c>
      <c r="I656" s="1">
        <v>0.2</v>
      </c>
      <c r="J656" s="2">
        <v>45695</v>
      </c>
      <c r="K656" s="2">
        <v>45471</v>
      </c>
      <c r="L656" s="2">
        <v>45610</v>
      </c>
      <c r="M656" t="s">
        <v>2420</v>
      </c>
      <c r="N656">
        <v>33</v>
      </c>
      <c r="O656">
        <v>68</v>
      </c>
      <c r="P656" t="s">
        <v>44</v>
      </c>
      <c r="Q656" t="str">
        <f t="shared" si="43"/>
        <v>Expiry before Received</v>
      </c>
      <c r="R656" s="3">
        <f t="shared" si="41"/>
        <v>4.4000000000000004</v>
      </c>
      <c r="S656">
        <f t="shared" si="40"/>
        <v>36</v>
      </c>
      <c r="T656" t="str">
        <f t="shared" si="42"/>
        <v>Reorder Required</v>
      </c>
    </row>
    <row r="657" spans="1:20" x14ac:dyDescent="0.3">
      <c r="A657" t="s">
        <v>2421</v>
      </c>
      <c r="B657" t="s">
        <v>1145</v>
      </c>
      <c r="C657" t="s">
        <v>22</v>
      </c>
      <c r="D657" t="s">
        <v>2422</v>
      </c>
      <c r="E657" t="s">
        <v>1115</v>
      </c>
      <c r="F657">
        <v>51</v>
      </c>
      <c r="G657">
        <v>47</v>
      </c>
      <c r="H657">
        <v>6</v>
      </c>
      <c r="I657" s="1">
        <v>2.5</v>
      </c>
      <c r="J657" s="2">
        <v>45619</v>
      </c>
      <c r="K657" s="2">
        <v>45515</v>
      </c>
      <c r="L657" s="2">
        <v>45461</v>
      </c>
      <c r="M657" t="s">
        <v>2423</v>
      </c>
      <c r="N657">
        <v>53</v>
      </c>
      <c r="O657">
        <v>4</v>
      </c>
      <c r="P657" t="s">
        <v>38</v>
      </c>
      <c r="Q657" t="str">
        <f t="shared" si="43"/>
        <v>Expiry before Received</v>
      </c>
      <c r="R657" s="3">
        <f t="shared" si="41"/>
        <v>127.5</v>
      </c>
      <c r="S657">
        <f t="shared" si="40"/>
        <v>0</v>
      </c>
      <c r="T657" t="str">
        <f t="shared" si="42"/>
        <v>Sufficient Stock</v>
      </c>
    </row>
    <row r="658" spans="1:20" x14ac:dyDescent="0.3">
      <c r="A658" t="s">
        <v>2424</v>
      </c>
      <c r="B658" t="s">
        <v>28</v>
      </c>
      <c r="C658" t="s">
        <v>29</v>
      </c>
      <c r="D658" t="s">
        <v>2425</v>
      </c>
      <c r="E658" t="s">
        <v>716</v>
      </c>
      <c r="F658">
        <v>65</v>
      </c>
      <c r="G658">
        <v>63</v>
      </c>
      <c r="H658">
        <v>41</v>
      </c>
      <c r="I658" s="1">
        <v>20</v>
      </c>
      <c r="J658" s="2">
        <v>45384</v>
      </c>
      <c r="K658" s="2">
        <v>45664</v>
      </c>
      <c r="L658" s="2">
        <v>45380</v>
      </c>
      <c r="M658" t="s">
        <v>2426</v>
      </c>
      <c r="N658">
        <v>28</v>
      </c>
      <c r="O658">
        <v>26</v>
      </c>
      <c r="P658" t="s">
        <v>38</v>
      </c>
      <c r="Q658" t="str">
        <f t="shared" si="43"/>
        <v>Expiry before Received</v>
      </c>
      <c r="R658" s="3">
        <f t="shared" si="41"/>
        <v>1300</v>
      </c>
      <c r="S658">
        <f t="shared" si="40"/>
        <v>0</v>
      </c>
      <c r="T658" t="str">
        <f t="shared" si="42"/>
        <v>Sufficient Stock</v>
      </c>
    </row>
    <row r="659" spans="1:20" x14ac:dyDescent="0.3">
      <c r="A659" t="s">
        <v>2427</v>
      </c>
      <c r="B659" t="s">
        <v>496</v>
      </c>
      <c r="C659" t="s">
        <v>64</v>
      </c>
      <c r="D659" t="s">
        <v>2428</v>
      </c>
      <c r="E659" t="s">
        <v>1160</v>
      </c>
      <c r="F659">
        <v>55</v>
      </c>
      <c r="G659">
        <v>25</v>
      </c>
      <c r="H659">
        <v>87</v>
      </c>
      <c r="I659" s="1">
        <v>4</v>
      </c>
      <c r="J659" s="2">
        <v>45425</v>
      </c>
      <c r="K659" s="2">
        <v>45353</v>
      </c>
      <c r="L659" s="2">
        <v>45686</v>
      </c>
      <c r="M659" t="s">
        <v>2429</v>
      </c>
      <c r="N659">
        <v>69</v>
      </c>
      <c r="O659">
        <v>48</v>
      </c>
      <c r="P659" t="s">
        <v>38</v>
      </c>
      <c r="Q659" t="str">
        <f t="shared" si="43"/>
        <v>Last Order before Received</v>
      </c>
      <c r="R659" s="3">
        <f t="shared" si="41"/>
        <v>220</v>
      </c>
      <c r="S659">
        <f t="shared" si="40"/>
        <v>0</v>
      </c>
      <c r="T659" t="str">
        <f t="shared" si="42"/>
        <v>Sufficient Stock</v>
      </c>
    </row>
    <row r="660" spans="1:20" x14ac:dyDescent="0.3">
      <c r="A660" t="s">
        <v>2430</v>
      </c>
      <c r="B660" t="s">
        <v>589</v>
      </c>
      <c r="C660" t="s">
        <v>22</v>
      </c>
      <c r="D660" t="s">
        <v>2431</v>
      </c>
      <c r="E660" t="s">
        <v>1024</v>
      </c>
      <c r="F660">
        <v>18</v>
      </c>
      <c r="G660">
        <v>86</v>
      </c>
      <c r="H660">
        <v>20</v>
      </c>
      <c r="I660" s="1">
        <v>1.8</v>
      </c>
      <c r="J660" s="2">
        <v>45652</v>
      </c>
      <c r="K660" s="2">
        <v>45630</v>
      </c>
      <c r="L660" s="2">
        <v>45625</v>
      </c>
      <c r="M660" t="s">
        <v>2432</v>
      </c>
      <c r="N660">
        <v>64</v>
      </c>
      <c r="O660">
        <v>34</v>
      </c>
      <c r="P660" t="s">
        <v>26</v>
      </c>
      <c r="Q660" t="str">
        <f t="shared" si="43"/>
        <v>Expiry before Received</v>
      </c>
      <c r="R660" s="3">
        <f t="shared" si="41"/>
        <v>32.4</v>
      </c>
      <c r="S660">
        <f t="shared" si="40"/>
        <v>68</v>
      </c>
      <c r="T660" t="str">
        <f t="shared" si="42"/>
        <v>Reorder Required</v>
      </c>
    </row>
    <row r="661" spans="1:20" x14ac:dyDescent="0.3">
      <c r="A661" t="s">
        <v>2433</v>
      </c>
      <c r="B661" t="s">
        <v>147</v>
      </c>
      <c r="C661" t="s">
        <v>64</v>
      </c>
      <c r="D661" t="s">
        <v>2434</v>
      </c>
      <c r="E661" t="s">
        <v>693</v>
      </c>
      <c r="F661">
        <v>37</v>
      </c>
      <c r="G661">
        <v>3</v>
      </c>
      <c r="H661">
        <v>45</v>
      </c>
      <c r="I661" s="1">
        <v>12</v>
      </c>
      <c r="J661" s="2">
        <v>45590</v>
      </c>
      <c r="K661" s="2">
        <v>45404</v>
      </c>
      <c r="L661" s="2">
        <v>45617</v>
      </c>
      <c r="M661" t="s">
        <v>2435</v>
      </c>
      <c r="N661">
        <v>39</v>
      </c>
      <c r="O661">
        <v>28</v>
      </c>
      <c r="P661" t="s">
        <v>26</v>
      </c>
      <c r="Q661" t="str">
        <f t="shared" si="43"/>
        <v>Last Order before Received</v>
      </c>
      <c r="R661" s="3">
        <f t="shared" si="41"/>
        <v>444</v>
      </c>
      <c r="S661">
        <f t="shared" si="40"/>
        <v>0</v>
      </c>
      <c r="T661" t="str">
        <f t="shared" si="42"/>
        <v>Sufficient Stock</v>
      </c>
    </row>
    <row r="662" spans="1:20" x14ac:dyDescent="0.3">
      <c r="A662" t="s">
        <v>2436</v>
      </c>
      <c r="B662" t="s">
        <v>1479</v>
      </c>
      <c r="C662" t="s">
        <v>132</v>
      </c>
      <c r="D662" t="s">
        <v>2437</v>
      </c>
      <c r="E662" t="s">
        <v>1242</v>
      </c>
      <c r="F662">
        <v>88</v>
      </c>
      <c r="G662">
        <v>40</v>
      </c>
      <c r="H662">
        <v>29</v>
      </c>
      <c r="I662" s="1">
        <v>15</v>
      </c>
      <c r="J662" s="2">
        <v>45712</v>
      </c>
      <c r="K662" s="2">
        <v>45467</v>
      </c>
      <c r="L662" s="2">
        <v>45347</v>
      </c>
      <c r="M662" t="s">
        <v>2438</v>
      </c>
      <c r="N662">
        <v>96</v>
      </c>
      <c r="O662">
        <v>87</v>
      </c>
      <c r="P662" t="s">
        <v>26</v>
      </c>
      <c r="Q662" t="str">
        <f t="shared" si="43"/>
        <v>Expiry before Received</v>
      </c>
      <c r="R662" s="3">
        <f t="shared" si="41"/>
        <v>1320</v>
      </c>
      <c r="S662">
        <f t="shared" si="40"/>
        <v>0</v>
      </c>
      <c r="T662" t="str">
        <f t="shared" si="42"/>
        <v>Sufficient Stock</v>
      </c>
    </row>
    <row r="663" spans="1:20" x14ac:dyDescent="0.3">
      <c r="A663" t="s">
        <v>2439</v>
      </c>
      <c r="B663" t="s">
        <v>181</v>
      </c>
      <c r="C663" t="s">
        <v>47</v>
      </c>
      <c r="D663" t="s">
        <v>2440</v>
      </c>
      <c r="E663" t="s">
        <v>178</v>
      </c>
      <c r="F663">
        <v>20</v>
      </c>
      <c r="G663">
        <v>51</v>
      </c>
      <c r="H663">
        <v>33</v>
      </c>
      <c r="I663" s="1">
        <v>3.5</v>
      </c>
      <c r="J663" s="2">
        <v>45385</v>
      </c>
      <c r="K663" s="2">
        <v>45681</v>
      </c>
      <c r="L663" s="2">
        <v>45700</v>
      </c>
      <c r="M663" t="s">
        <v>2441</v>
      </c>
      <c r="N663">
        <v>80</v>
      </c>
      <c r="O663">
        <v>41</v>
      </c>
      <c r="P663" t="s">
        <v>44</v>
      </c>
      <c r="Q663" t="str">
        <f t="shared" si="43"/>
        <v>OK</v>
      </c>
      <c r="R663" s="3">
        <f t="shared" si="41"/>
        <v>70</v>
      </c>
      <c r="S663">
        <f t="shared" si="40"/>
        <v>31</v>
      </c>
      <c r="T663" t="str">
        <f t="shared" si="42"/>
        <v>Reorder Required</v>
      </c>
    </row>
    <row r="664" spans="1:20" x14ac:dyDescent="0.3">
      <c r="A664" t="s">
        <v>2442</v>
      </c>
      <c r="B664" t="s">
        <v>108</v>
      </c>
      <c r="C664" t="s">
        <v>22</v>
      </c>
      <c r="D664" t="s">
        <v>2443</v>
      </c>
      <c r="E664" t="s">
        <v>299</v>
      </c>
      <c r="F664">
        <v>99</v>
      </c>
      <c r="G664">
        <v>54</v>
      </c>
      <c r="H664">
        <v>71</v>
      </c>
      <c r="I664" s="1">
        <v>1.5</v>
      </c>
      <c r="J664" s="2">
        <v>45587</v>
      </c>
      <c r="K664" s="2">
        <v>45518</v>
      </c>
      <c r="L664" s="2">
        <v>45617</v>
      </c>
      <c r="M664" t="s">
        <v>2444</v>
      </c>
      <c r="N664">
        <v>80</v>
      </c>
      <c r="O664">
        <v>10</v>
      </c>
      <c r="P664" t="s">
        <v>26</v>
      </c>
      <c r="Q664" t="str">
        <f t="shared" si="43"/>
        <v>Last Order before Received</v>
      </c>
      <c r="R664" s="3">
        <f t="shared" si="41"/>
        <v>148.5</v>
      </c>
      <c r="S664">
        <f t="shared" si="40"/>
        <v>0</v>
      </c>
      <c r="T664" t="str">
        <f t="shared" si="42"/>
        <v>Sufficient Stock</v>
      </c>
    </row>
    <row r="665" spans="1:20" x14ac:dyDescent="0.3">
      <c r="A665" t="s">
        <v>2445</v>
      </c>
      <c r="B665" t="s">
        <v>751</v>
      </c>
      <c r="C665" t="s">
        <v>47</v>
      </c>
      <c r="D665" t="s">
        <v>2446</v>
      </c>
      <c r="E665" t="s">
        <v>2447</v>
      </c>
      <c r="F665">
        <v>46</v>
      </c>
      <c r="G665">
        <v>88</v>
      </c>
      <c r="H665">
        <v>20</v>
      </c>
      <c r="I665" s="1">
        <v>4.8</v>
      </c>
      <c r="J665" s="2">
        <v>45573</v>
      </c>
      <c r="K665" s="2">
        <v>45634</v>
      </c>
      <c r="L665" s="2">
        <v>45383</v>
      </c>
      <c r="M665" t="s">
        <v>2448</v>
      </c>
      <c r="N665">
        <v>59</v>
      </c>
      <c r="O665">
        <v>79</v>
      </c>
      <c r="P665" t="s">
        <v>38</v>
      </c>
      <c r="Q665" t="str">
        <f t="shared" si="43"/>
        <v>Expiry before Received</v>
      </c>
      <c r="R665" s="3">
        <f t="shared" si="41"/>
        <v>220.79999999999998</v>
      </c>
      <c r="S665">
        <f t="shared" si="40"/>
        <v>42</v>
      </c>
      <c r="T665" t="str">
        <f t="shared" si="42"/>
        <v>Reorder Required</v>
      </c>
    </row>
    <row r="666" spans="1:20" x14ac:dyDescent="0.3">
      <c r="A666" t="s">
        <v>2449</v>
      </c>
      <c r="B666" t="s">
        <v>1468</v>
      </c>
      <c r="C666" t="s">
        <v>22</v>
      </c>
      <c r="D666" t="s">
        <v>2450</v>
      </c>
      <c r="E666" t="s">
        <v>2077</v>
      </c>
      <c r="F666">
        <v>19</v>
      </c>
      <c r="G666">
        <v>77</v>
      </c>
      <c r="H666">
        <v>66</v>
      </c>
      <c r="I666" s="1">
        <v>10</v>
      </c>
      <c r="J666" s="2">
        <v>45603</v>
      </c>
      <c r="K666" s="2">
        <v>45704</v>
      </c>
      <c r="L666" s="2">
        <v>45529</v>
      </c>
      <c r="M666" t="s">
        <v>2451</v>
      </c>
      <c r="N666">
        <v>62</v>
      </c>
      <c r="O666">
        <v>100</v>
      </c>
      <c r="P666" t="s">
        <v>44</v>
      </c>
      <c r="Q666" t="str">
        <f t="shared" si="43"/>
        <v>Expiry before Received</v>
      </c>
      <c r="R666" s="3">
        <f t="shared" si="41"/>
        <v>190</v>
      </c>
      <c r="S666">
        <f t="shared" si="40"/>
        <v>58</v>
      </c>
      <c r="T666" t="str">
        <f t="shared" si="42"/>
        <v>Reorder Required</v>
      </c>
    </row>
    <row r="667" spans="1:20" x14ac:dyDescent="0.3">
      <c r="A667" t="s">
        <v>2452</v>
      </c>
      <c r="B667" t="s">
        <v>1218</v>
      </c>
      <c r="C667" t="s">
        <v>64</v>
      </c>
      <c r="D667" t="s">
        <v>2453</v>
      </c>
      <c r="E667" t="s">
        <v>1516</v>
      </c>
      <c r="F667">
        <v>12</v>
      </c>
      <c r="G667">
        <v>83</v>
      </c>
      <c r="H667">
        <v>93</v>
      </c>
      <c r="I667" s="1">
        <v>1.75</v>
      </c>
      <c r="J667" s="2">
        <v>45592</v>
      </c>
      <c r="K667" s="2">
        <v>45471</v>
      </c>
      <c r="L667" s="2">
        <v>45497</v>
      </c>
      <c r="M667" t="s">
        <v>2454</v>
      </c>
      <c r="N667">
        <v>22</v>
      </c>
      <c r="O667">
        <v>9</v>
      </c>
      <c r="P667" t="s">
        <v>38</v>
      </c>
      <c r="Q667" t="str">
        <f t="shared" si="43"/>
        <v>Expiry before Received</v>
      </c>
      <c r="R667" s="3">
        <f t="shared" si="41"/>
        <v>21</v>
      </c>
      <c r="S667">
        <f t="shared" si="40"/>
        <v>71</v>
      </c>
      <c r="T667" t="str">
        <f t="shared" si="42"/>
        <v>Reorder Required</v>
      </c>
    </row>
    <row r="668" spans="1:20" x14ac:dyDescent="0.3">
      <c r="A668" t="s">
        <v>2455</v>
      </c>
      <c r="B668" t="s">
        <v>629</v>
      </c>
      <c r="C668" t="s">
        <v>64</v>
      </c>
      <c r="D668" t="s">
        <v>2456</v>
      </c>
      <c r="E668" t="s">
        <v>2457</v>
      </c>
      <c r="F668">
        <v>69</v>
      </c>
      <c r="G668">
        <v>98</v>
      </c>
      <c r="H668">
        <v>89</v>
      </c>
      <c r="I668" s="1">
        <v>2.5499999999999998</v>
      </c>
      <c r="J668" s="2">
        <v>45594</v>
      </c>
      <c r="K668" s="2">
        <v>45391</v>
      </c>
      <c r="L668" s="2">
        <v>45444</v>
      </c>
      <c r="M668" t="s">
        <v>2458</v>
      </c>
      <c r="N668">
        <v>29</v>
      </c>
      <c r="O668">
        <v>34</v>
      </c>
      <c r="P668" t="s">
        <v>26</v>
      </c>
      <c r="Q668" t="str">
        <f t="shared" si="43"/>
        <v>Expiry before Received</v>
      </c>
      <c r="R668" s="3">
        <f t="shared" si="41"/>
        <v>175.95</v>
      </c>
      <c r="S668">
        <f t="shared" si="40"/>
        <v>29</v>
      </c>
      <c r="T668" t="str">
        <f t="shared" si="42"/>
        <v>Reorder Required</v>
      </c>
    </row>
    <row r="669" spans="1:20" x14ac:dyDescent="0.3">
      <c r="A669" t="s">
        <v>2459</v>
      </c>
      <c r="B669" t="s">
        <v>74</v>
      </c>
      <c r="C669" t="s">
        <v>64</v>
      </c>
      <c r="D669" t="s">
        <v>2460</v>
      </c>
      <c r="E669" t="s">
        <v>262</v>
      </c>
      <c r="F669">
        <v>63</v>
      </c>
      <c r="G669">
        <v>38</v>
      </c>
      <c r="H669">
        <v>77</v>
      </c>
      <c r="I669" s="1">
        <v>1</v>
      </c>
      <c r="J669" s="2">
        <v>45649</v>
      </c>
      <c r="K669" s="2">
        <v>45700</v>
      </c>
      <c r="L669" s="2">
        <v>45408</v>
      </c>
      <c r="M669" t="s">
        <v>2461</v>
      </c>
      <c r="N669">
        <v>23</v>
      </c>
      <c r="O669">
        <v>18</v>
      </c>
      <c r="P669" t="s">
        <v>44</v>
      </c>
      <c r="Q669" t="str">
        <f t="shared" si="43"/>
        <v>Expiry before Received</v>
      </c>
      <c r="R669" s="3">
        <f t="shared" si="41"/>
        <v>63</v>
      </c>
      <c r="S669">
        <f t="shared" si="40"/>
        <v>0</v>
      </c>
      <c r="T669" t="str">
        <f t="shared" si="42"/>
        <v>Sufficient Stock</v>
      </c>
    </row>
    <row r="670" spans="1:20" x14ac:dyDescent="0.3">
      <c r="A670" t="s">
        <v>2462</v>
      </c>
      <c r="B670" t="s">
        <v>751</v>
      </c>
      <c r="C670" t="s">
        <v>47</v>
      </c>
      <c r="D670" t="s">
        <v>2463</v>
      </c>
      <c r="E670" t="s">
        <v>2464</v>
      </c>
      <c r="F670">
        <v>78</v>
      </c>
      <c r="G670">
        <v>16</v>
      </c>
      <c r="H670">
        <v>37</v>
      </c>
      <c r="I670" s="1">
        <v>4.7</v>
      </c>
      <c r="J670" s="2">
        <v>45577</v>
      </c>
      <c r="K670" s="2">
        <v>45630</v>
      </c>
      <c r="L670" s="2">
        <v>45444</v>
      </c>
      <c r="M670" t="s">
        <v>2465</v>
      </c>
      <c r="N670">
        <v>25</v>
      </c>
      <c r="O670">
        <v>96</v>
      </c>
      <c r="P670" t="s">
        <v>38</v>
      </c>
      <c r="Q670" t="str">
        <f t="shared" si="43"/>
        <v>Expiry before Received</v>
      </c>
      <c r="R670" s="3">
        <f t="shared" si="41"/>
        <v>366.6</v>
      </c>
      <c r="S670">
        <f t="shared" si="40"/>
        <v>0</v>
      </c>
      <c r="T670" t="str">
        <f t="shared" si="42"/>
        <v>Sufficient Stock</v>
      </c>
    </row>
    <row r="671" spans="1:20" x14ac:dyDescent="0.3">
      <c r="A671" t="s">
        <v>2466</v>
      </c>
      <c r="B671" t="s">
        <v>282</v>
      </c>
      <c r="C671" t="s">
        <v>89</v>
      </c>
      <c r="D671" t="s">
        <v>2467</v>
      </c>
      <c r="E671" t="s">
        <v>119</v>
      </c>
      <c r="F671">
        <v>72</v>
      </c>
      <c r="G671">
        <v>20</v>
      </c>
      <c r="H671">
        <v>71</v>
      </c>
      <c r="I671" s="1">
        <v>2.5</v>
      </c>
      <c r="J671" s="2">
        <v>45472</v>
      </c>
      <c r="K671" s="2">
        <v>45429</v>
      </c>
      <c r="L671" s="2">
        <v>45594</v>
      </c>
      <c r="M671" t="s">
        <v>2468</v>
      </c>
      <c r="N671">
        <v>87</v>
      </c>
      <c r="O671">
        <v>68</v>
      </c>
      <c r="P671" t="s">
        <v>26</v>
      </c>
      <c r="Q671" t="str">
        <f t="shared" si="43"/>
        <v>Last Order before Received</v>
      </c>
      <c r="R671" s="3">
        <f t="shared" si="41"/>
        <v>180</v>
      </c>
      <c r="S671">
        <f t="shared" si="40"/>
        <v>0</v>
      </c>
      <c r="T671" t="str">
        <f t="shared" si="42"/>
        <v>Sufficient Stock</v>
      </c>
    </row>
    <row r="672" spans="1:20" x14ac:dyDescent="0.3">
      <c r="A672" t="s">
        <v>2469</v>
      </c>
      <c r="B672" t="s">
        <v>1468</v>
      </c>
      <c r="C672" t="s">
        <v>22</v>
      </c>
      <c r="D672" t="s">
        <v>2470</v>
      </c>
      <c r="E672" t="s">
        <v>872</v>
      </c>
      <c r="F672">
        <v>58</v>
      </c>
      <c r="G672">
        <v>24</v>
      </c>
      <c r="H672">
        <v>25</v>
      </c>
      <c r="I672" s="1">
        <v>10</v>
      </c>
      <c r="J672" s="2">
        <v>45528</v>
      </c>
      <c r="K672" s="2">
        <v>45613</v>
      </c>
      <c r="L672" s="2">
        <v>45372</v>
      </c>
      <c r="M672" t="s">
        <v>2471</v>
      </c>
      <c r="N672">
        <v>75</v>
      </c>
      <c r="O672">
        <v>26</v>
      </c>
      <c r="P672" t="s">
        <v>44</v>
      </c>
      <c r="Q672" t="str">
        <f t="shared" si="43"/>
        <v>Expiry before Received</v>
      </c>
      <c r="R672" s="3">
        <f t="shared" si="41"/>
        <v>580</v>
      </c>
      <c r="S672">
        <f t="shared" si="40"/>
        <v>0</v>
      </c>
      <c r="T672" t="str">
        <f t="shared" si="42"/>
        <v>Sufficient Stock</v>
      </c>
    </row>
    <row r="673" spans="1:20" x14ac:dyDescent="0.3">
      <c r="A673" t="s">
        <v>2472</v>
      </c>
      <c r="B673" t="s">
        <v>63</v>
      </c>
      <c r="C673" t="s">
        <v>64</v>
      </c>
      <c r="D673" t="s">
        <v>2473</v>
      </c>
      <c r="E673" t="s">
        <v>2474</v>
      </c>
      <c r="F673">
        <v>88</v>
      </c>
      <c r="G673">
        <v>22</v>
      </c>
      <c r="H673">
        <v>61</v>
      </c>
      <c r="I673" s="1">
        <v>2.5</v>
      </c>
      <c r="J673" s="2">
        <v>45661</v>
      </c>
      <c r="K673" s="2">
        <v>45564</v>
      </c>
      <c r="L673" s="2">
        <v>45696</v>
      </c>
      <c r="M673" t="s">
        <v>2475</v>
      </c>
      <c r="N673">
        <v>54</v>
      </c>
      <c r="O673">
        <v>100</v>
      </c>
      <c r="P673" t="s">
        <v>26</v>
      </c>
      <c r="Q673" t="str">
        <f t="shared" si="43"/>
        <v>Last Order before Received</v>
      </c>
      <c r="R673" s="3">
        <f t="shared" si="41"/>
        <v>220</v>
      </c>
      <c r="S673">
        <f t="shared" si="40"/>
        <v>0</v>
      </c>
      <c r="T673" t="str">
        <f t="shared" si="42"/>
        <v>Sufficient Stock</v>
      </c>
    </row>
    <row r="674" spans="1:20" x14ac:dyDescent="0.3">
      <c r="A674" t="s">
        <v>2476</v>
      </c>
      <c r="B674" t="s">
        <v>589</v>
      </c>
      <c r="C674" t="s">
        <v>22</v>
      </c>
      <c r="D674" t="s">
        <v>2477</v>
      </c>
      <c r="E674" t="s">
        <v>1391</v>
      </c>
      <c r="F674">
        <v>54</v>
      </c>
      <c r="G674">
        <v>53</v>
      </c>
      <c r="H674">
        <v>33</v>
      </c>
      <c r="I674" s="1">
        <v>1.8</v>
      </c>
      <c r="J674" s="2">
        <v>45389</v>
      </c>
      <c r="K674" s="2">
        <v>45674</v>
      </c>
      <c r="L674" s="2">
        <v>45478</v>
      </c>
      <c r="M674" t="s">
        <v>2478</v>
      </c>
      <c r="N674">
        <v>94</v>
      </c>
      <c r="O674">
        <v>82</v>
      </c>
      <c r="P674" t="s">
        <v>38</v>
      </c>
      <c r="Q674" t="str">
        <f t="shared" si="43"/>
        <v>OK</v>
      </c>
      <c r="R674" s="3">
        <f t="shared" si="41"/>
        <v>97.2</v>
      </c>
      <c r="S674">
        <f t="shared" si="40"/>
        <v>0</v>
      </c>
      <c r="T674" t="str">
        <f t="shared" si="42"/>
        <v>Sufficient Stock</v>
      </c>
    </row>
    <row r="675" spans="1:20" x14ac:dyDescent="0.3">
      <c r="A675" t="s">
        <v>2479</v>
      </c>
      <c r="B675" t="s">
        <v>687</v>
      </c>
      <c r="C675" t="s">
        <v>22</v>
      </c>
      <c r="D675" t="s">
        <v>2480</v>
      </c>
      <c r="E675" t="s">
        <v>1870</v>
      </c>
      <c r="F675">
        <v>64</v>
      </c>
      <c r="G675">
        <v>10</v>
      </c>
      <c r="H675">
        <v>100</v>
      </c>
      <c r="I675" s="1">
        <v>2.5</v>
      </c>
      <c r="J675" s="2">
        <v>45579</v>
      </c>
      <c r="K675" s="2">
        <v>45448</v>
      </c>
      <c r="L675" s="2">
        <v>45592</v>
      </c>
      <c r="M675" t="s">
        <v>2481</v>
      </c>
      <c r="N675">
        <v>97</v>
      </c>
      <c r="O675">
        <v>52</v>
      </c>
      <c r="P675" t="s">
        <v>44</v>
      </c>
      <c r="Q675" t="str">
        <f t="shared" si="43"/>
        <v>Last Order before Received</v>
      </c>
      <c r="R675" s="3">
        <f t="shared" si="41"/>
        <v>160</v>
      </c>
      <c r="S675">
        <f t="shared" si="40"/>
        <v>0</v>
      </c>
      <c r="T675" t="str">
        <f t="shared" si="42"/>
        <v>Sufficient Stock</v>
      </c>
    </row>
    <row r="676" spans="1:20" x14ac:dyDescent="0.3">
      <c r="A676" t="s">
        <v>2482</v>
      </c>
      <c r="B676" t="s">
        <v>1099</v>
      </c>
      <c r="C676" t="s">
        <v>64</v>
      </c>
      <c r="D676" t="s">
        <v>2483</v>
      </c>
      <c r="E676" t="s">
        <v>1150</v>
      </c>
      <c r="F676">
        <v>12</v>
      </c>
      <c r="G676">
        <v>54</v>
      </c>
      <c r="H676">
        <v>48</v>
      </c>
      <c r="I676" s="1">
        <v>1</v>
      </c>
      <c r="J676" s="2">
        <v>45602</v>
      </c>
      <c r="K676" s="2">
        <v>45646</v>
      </c>
      <c r="L676" s="2">
        <v>45403</v>
      </c>
      <c r="M676" t="s">
        <v>2484</v>
      </c>
      <c r="N676">
        <v>31</v>
      </c>
      <c r="O676">
        <v>88</v>
      </c>
      <c r="P676" t="s">
        <v>38</v>
      </c>
      <c r="Q676" t="str">
        <f t="shared" si="43"/>
        <v>Expiry before Received</v>
      </c>
      <c r="R676" s="3">
        <f t="shared" si="41"/>
        <v>12</v>
      </c>
      <c r="S676">
        <f t="shared" si="40"/>
        <v>42</v>
      </c>
      <c r="T676" t="str">
        <f t="shared" si="42"/>
        <v>Reorder Required</v>
      </c>
    </row>
    <row r="677" spans="1:20" x14ac:dyDescent="0.3">
      <c r="A677" t="s">
        <v>2485</v>
      </c>
      <c r="B677" t="s">
        <v>224</v>
      </c>
      <c r="C677" t="s">
        <v>47</v>
      </c>
      <c r="D677" t="s">
        <v>2486</v>
      </c>
      <c r="E677" t="s">
        <v>24</v>
      </c>
      <c r="F677">
        <v>61</v>
      </c>
      <c r="G677">
        <v>14</v>
      </c>
      <c r="H677">
        <v>49</v>
      </c>
      <c r="I677" s="1">
        <v>5.2</v>
      </c>
      <c r="J677" s="2">
        <v>45453</v>
      </c>
      <c r="K677" s="2">
        <v>45638</v>
      </c>
      <c r="L677" s="2">
        <v>45498</v>
      </c>
      <c r="M677" t="s">
        <v>2487</v>
      </c>
      <c r="N677">
        <v>74</v>
      </c>
      <c r="O677">
        <v>35</v>
      </c>
      <c r="P677" t="s">
        <v>26</v>
      </c>
      <c r="Q677" t="str">
        <f t="shared" si="43"/>
        <v>OK</v>
      </c>
      <c r="R677" s="3">
        <f t="shared" si="41"/>
        <v>317.2</v>
      </c>
      <c r="S677">
        <f t="shared" si="40"/>
        <v>0</v>
      </c>
      <c r="T677" t="str">
        <f t="shared" si="42"/>
        <v>Sufficient Stock</v>
      </c>
    </row>
    <row r="678" spans="1:20" x14ac:dyDescent="0.3">
      <c r="A678" t="s">
        <v>2488</v>
      </c>
      <c r="B678" t="s">
        <v>167</v>
      </c>
      <c r="C678" t="s">
        <v>89</v>
      </c>
      <c r="D678" t="s">
        <v>2489</v>
      </c>
      <c r="E678" t="s">
        <v>605</v>
      </c>
      <c r="F678">
        <v>28</v>
      </c>
      <c r="G678">
        <v>62</v>
      </c>
      <c r="H678">
        <v>81</v>
      </c>
      <c r="I678" s="1">
        <v>5</v>
      </c>
      <c r="J678" s="2">
        <v>45378</v>
      </c>
      <c r="K678" s="2">
        <v>45468</v>
      </c>
      <c r="L678" s="2">
        <v>45572</v>
      </c>
      <c r="M678" t="s">
        <v>2490</v>
      </c>
      <c r="N678">
        <v>28</v>
      </c>
      <c r="O678">
        <v>30</v>
      </c>
      <c r="P678" t="s">
        <v>26</v>
      </c>
      <c r="Q678" t="str">
        <f t="shared" si="43"/>
        <v>OK</v>
      </c>
      <c r="R678" s="3">
        <f t="shared" si="41"/>
        <v>140</v>
      </c>
      <c r="S678">
        <f t="shared" si="40"/>
        <v>34</v>
      </c>
      <c r="T678" t="str">
        <f t="shared" si="42"/>
        <v>Reorder Required</v>
      </c>
    </row>
    <row r="679" spans="1:20" x14ac:dyDescent="0.3">
      <c r="A679" t="s">
        <v>2491</v>
      </c>
      <c r="B679" t="s">
        <v>126</v>
      </c>
      <c r="C679" t="s">
        <v>47</v>
      </c>
      <c r="D679" t="s">
        <v>2492</v>
      </c>
      <c r="E679" t="s">
        <v>1250</v>
      </c>
      <c r="F679">
        <v>23</v>
      </c>
      <c r="G679">
        <v>6</v>
      </c>
      <c r="H679">
        <v>40</v>
      </c>
      <c r="I679" s="1">
        <v>2.5</v>
      </c>
      <c r="J679" s="2">
        <v>45371</v>
      </c>
      <c r="K679" s="2">
        <v>45645</v>
      </c>
      <c r="L679" s="2">
        <v>45462</v>
      </c>
      <c r="M679" t="s">
        <v>2493</v>
      </c>
      <c r="N679">
        <v>95</v>
      </c>
      <c r="O679">
        <v>24</v>
      </c>
      <c r="P679" t="s">
        <v>38</v>
      </c>
      <c r="Q679" t="str">
        <f t="shared" si="43"/>
        <v>OK</v>
      </c>
      <c r="R679" s="3">
        <f t="shared" si="41"/>
        <v>57.5</v>
      </c>
      <c r="S679">
        <f t="shared" si="40"/>
        <v>0</v>
      </c>
      <c r="T679" t="str">
        <f t="shared" si="42"/>
        <v>Sufficient Stock</v>
      </c>
    </row>
    <row r="680" spans="1:20" x14ac:dyDescent="0.3">
      <c r="A680" t="s">
        <v>2494</v>
      </c>
      <c r="B680" t="s">
        <v>440</v>
      </c>
      <c r="C680" t="s">
        <v>47</v>
      </c>
      <c r="D680" t="s">
        <v>2495</v>
      </c>
      <c r="E680" t="s">
        <v>211</v>
      </c>
      <c r="F680">
        <v>87</v>
      </c>
      <c r="G680">
        <v>51</v>
      </c>
      <c r="H680">
        <v>67</v>
      </c>
      <c r="I680" s="1">
        <v>10</v>
      </c>
      <c r="J680" s="2">
        <v>45664</v>
      </c>
      <c r="K680" s="2">
        <v>45448</v>
      </c>
      <c r="L680" s="2">
        <v>45418</v>
      </c>
      <c r="M680" t="s">
        <v>2496</v>
      </c>
      <c r="N680">
        <v>55</v>
      </c>
      <c r="O680">
        <v>100</v>
      </c>
      <c r="P680" t="s">
        <v>38</v>
      </c>
      <c r="Q680" t="str">
        <f t="shared" si="43"/>
        <v>Expiry before Received</v>
      </c>
      <c r="R680" s="3">
        <f t="shared" si="41"/>
        <v>870</v>
      </c>
      <c r="S680">
        <f t="shared" si="40"/>
        <v>0</v>
      </c>
      <c r="T680" t="str">
        <f t="shared" si="42"/>
        <v>Sufficient Stock</v>
      </c>
    </row>
    <row r="681" spans="1:20" x14ac:dyDescent="0.3">
      <c r="A681" t="s">
        <v>2497</v>
      </c>
      <c r="B681" t="s">
        <v>775</v>
      </c>
      <c r="C681" t="s">
        <v>29</v>
      </c>
      <c r="D681" t="s">
        <v>2498</v>
      </c>
      <c r="E681" t="s">
        <v>1435</v>
      </c>
      <c r="F681">
        <v>59</v>
      </c>
      <c r="G681">
        <v>31</v>
      </c>
      <c r="H681">
        <v>3</v>
      </c>
      <c r="I681" s="1">
        <v>10</v>
      </c>
      <c r="J681" s="2">
        <v>45550</v>
      </c>
      <c r="K681" s="2">
        <v>45678</v>
      </c>
      <c r="L681" s="2">
        <v>45587</v>
      </c>
      <c r="M681" t="s">
        <v>2499</v>
      </c>
      <c r="N681">
        <v>48</v>
      </c>
      <c r="O681">
        <v>51</v>
      </c>
      <c r="P681" t="s">
        <v>44</v>
      </c>
      <c r="Q681" t="str">
        <f t="shared" si="43"/>
        <v>OK</v>
      </c>
      <c r="R681" s="3">
        <f t="shared" si="41"/>
        <v>590</v>
      </c>
      <c r="S681">
        <f t="shared" si="40"/>
        <v>0</v>
      </c>
      <c r="T681" t="str">
        <f t="shared" si="42"/>
        <v>Sufficient Stock</v>
      </c>
    </row>
    <row r="682" spans="1:20" x14ac:dyDescent="0.3">
      <c r="A682" t="s">
        <v>2500</v>
      </c>
      <c r="B682" t="s">
        <v>780</v>
      </c>
      <c r="C682" t="s">
        <v>47</v>
      </c>
      <c r="D682" t="s">
        <v>2501</v>
      </c>
      <c r="E682" t="s">
        <v>54</v>
      </c>
      <c r="F682">
        <v>13</v>
      </c>
      <c r="G682">
        <v>88</v>
      </c>
      <c r="H682">
        <v>11</v>
      </c>
      <c r="I682" s="1">
        <v>3</v>
      </c>
      <c r="J682" s="2">
        <v>45615</v>
      </c>
      <c r="K682" s="2">
        <v>45417</v>
      </c>
      <c r="L682" s="2">
        <v>45640</v>
      </c>
      <c r="M682" t="s">
        <v>2502</v>
      </c>
      <c r="N682">
        <v>100</v>
      </c>
      <c r="O682">
        <v>52</v>
      </c>
      <c r="P682" t="s">
        <v>38</v>
      </c>
      <c r="Q682" t="str">
        <f t="shared" si="43"/>
        <v>Last Order before Received</v>
      </c>
      <c r="R682" s="3">
        <f t="shared" si="41"/>
        <v>39</v>
      </c>
      <c r="S682">
        <f t="shared" si="40"/>
        <v>75</v>
      </c>
      <c r="T682" t="str">
        <f t="shared" si="42"/>
        <v>Reorder Required</v>
      </c>
    </row>
    <row r="683" spans="1:20" x14ac:dyDescent="0.3">
      <c r="A683" t="s">
        <v>2503</v>
      </c>
      <c r="B683" t="s">
        <v>545</v>
      </c>
      <c r="C683" t="s">
        <v>47</v>
      </c>
      <c r="D683" t="s">
        <v>2504</v>
      </c>
      <c r="E683" t="s">
        <v>417</v>
      </c>
      <c r="F683">
        <v>81</v>
      </c>
      <c r="G683">
        <v>87</v>
      </c>
      <c r="H683">
        <v>15</v>
      </c>
      <c r="I683" s="1">
        <v>6</v>
      </c>
      <c r="J683" s="2">
        <v>45665</v>
      </c>
      <c r="K683" s="2">
        <v>45682</v>
      </c>
      <c r="L683" s="2">
        <v>45544</v>
      </c>
      <c r="M683" t="s">
        <v>2505</v>
      </c>
      <c r="N683">
        <v>94</v>
      </c>
      <c r="O683">
        <v>10</v>
      </c>
      <c r="P683" t="s">
        <v>38</v>
      </c>
      <c r="Q683" t="str">
        <f t="shared" si="43"/>
        <v>Expiry before Received</v>
      </c>
      <c r="R683" s="3">
        <f t="shared" si="41"/>
        <v>486</v>
      </c>
      <c r="S683">
        <f t="shared" si="40"/>
        <v>6</v>
      </c>
      <c r="T683" t="str">
        <f t="shared" si="42"/>
        <v>Reorder Required</v>
      </c>
    </row>
    <row r="684" spans="1:20" x14ac:dyDescent="0.3">
      <c r="A684" t="s">
        <v>2506</v>
      </c>
      <c r="B684" t="s">
        <v>282</v>
      </c>
      <c r="C684" t="s">
        <v>89</v>
      </c>
      <c r="D684" t="s">
        <v>2507</v>
      </c>
      <c r="E684" t="s">
        <v>765</v>
      </c>
      <c r="F684">
        <v>61</v>
      </c>
      <c r="G684">
        <v>77</v>
      </c>
      <c r="H684">
        <v>45</v>
      </c>
      <c r="I684" s="1">
        <v>2.5</v>
      </c>
      <c r="J684" s="2">
        <v>45372</v>
      </c>
      <c r="K684" s="2">
        <v>45351</v>
      </c>
      <c r="L684" s="2">
        <v>45465</v>
      </c>
      <c r="M684" t="s">
        <v>2508</v>
      </c>
      <c r="N684">
        <v>51</v>
      </c>
      <c r="O684">
        <v>48</v>
      </c>
      <c r="P684" t="s">
        <v>38</v>
      </c>
      <c r="Q684" t="str">
        <f t="shared" si="43"/>
        <v>Last Order before Received</v>
      </c>
      <c r="R684" s="3">
        <f t="shared" si="41"/>
        <v>152.5</v>
      </c>
      <c r="S684">
        <f t="shared" si="40"/>
        <v>16</v>
      </c>
      <c r="T684" t="str">
        <f t="shared" si="42"/>
        <v>Reorder Required</v>
      </c>
    </row>
    <row r="685" spans="1:20" x14ac:dyDescent="0.3">
      <c r="A685" t="s">
        <v>2509</v>
      </c>
      <c r="B685" t="s">
        <v>311</v>
      </c>
      <c r="C685" t="s">
        <v>47</v>
      </c>
      <c r="D685" t="s">
        <v>2510</v>
      </c>
      <c r="E685" t="s">
        <v>1823</v>
      </c>
      <c r="F685">
        <v>80</v>
      </c>
      <c r="G685">
        <v>91</v>
      </c>
      <c r="H685">
        <v>36</v>
      </c>
      <c r="I685" s="1">
        <v>1.5</v>
      </c>
      <c r="J685" s="2">
        <v>45375</v>
      </c>
      <c r="K685" s="2">
        <v>45481</v>
      </c>
      <c r="L685" s="2">
        <v>45591</v>
      </c>
      <c r="M685" t="s">
        <v>2511</v>
      </c>
      <c r="N685">
        <v>81</v>
      </c>
      <c r="O685">
        <v>74</v>
      </c>
      <c r="P685" t="s">
        <v>44</v>
      </c>
      <c r="Q685" t="str">
        <f t="shared" si="43"/>
        <v>OK</v>
      </c>
      <c r="R685" s="3">
        <f t="shared" si="41"/>
        <v>120</v>
      </c>
      <c r="S685">
        <f t="shared" si="40"/>
        <v>11</v>
      </c>
      <c r="T685" t="str">
        <f t="shared" si="42"/>
        <v>Reorder Required</v>
      </c>
    </row>
    <row r="686" spans="1:20" x14ac:dyDescent="0.3">
      <c r="A686" t="s">
        <v>2512</v>
      </c>
      <c r="B686" t="s">
        <v>1145</v>
      </c>
      <c r="C686" t="s">
        <v>22</v>
      </c>
      <c r="D686" t="s">
        <v>2513</v>
      </c>
      <c r="E686" t="s">
        <v>2148</v>
      </c>
      <c r="F686">
        <v>39</v>
      </c>
      <c r="G686">
        <v>57</v>
      </c>
      <c r="H686">
        <v>54</v>
      </c>
      <c r="I686" s="1">
        <v>2.5</v>
      </c>
      <c r="J686" s="2">
        <v>45632</v>
      </c>
      <c r="K686" s="2">
        <v>45357</v>
      </c>
      <c r="L686" s="2">
        <v>45515</v>
      </c>
      <c r="M686" t="s">
        <v>2514</v>
      </c>
      <c r="N686">
        <v>77</v>
      </c>
      <c r="O686">
        <v>32</v>
      </c>
      <c r="P686" t="s">
        <v>44</v>
      </c>
      <c r="Q686" t="str">
        <f t="shared" si="43"/>
        <v>Expiry before Received</v>
      </c>
      <c r="R686" s="3">
        <f t="shared" si="41"/>
        <v>97.5</v>
      </c>
      <c r="S686">
        <f t="shared" si="40"/>
        <v>18</v>
      </c>
      <c r="T686" t="str">
        <f t="shared" si="42"/>
        <v>Reorder Required</v>
      </c>
    </row>
    <row r="687" spans="1:20" x14ac:dyDescent="0.3">
      <c r="A687" t="s">
        <v>2515</v>
      </c>
      <c r="B687" t="s">
        <v>142</v>
      </c>
      <c r="C687" t="s">
        <v>47</v>
      </c>
      <c r="D687" t="s">
        <v>2516</v>
      </c>
      <c r="E687" t="s">
        <v>551</v>
      </c>
      <c r="F687">
        <v>69</v>
      </c>
      <c r="G687">
        <v>21</v>
      </c>
      <c r="H687">
        <v>68</v>
      </c>
      <c r="I687" s="1">
        <v>66.55</v>
      </c>
      <c r="J687" s="2">
        <v>45649</v>
      </c>
      <c r="K687" s="2">
        <v>45622</v>
      </c>
      <c r="L687" s="2">
        <v>45556</v>
      </c>
      <c r="M687" t="s">
        <v>2517</v>
      </c>
      <c r="N687">
        <v>36</v>
      </c>
      <c r="O687">
        <v>35</v>
      </c>
      <c r="P687" t="s">
        <v>26</v>
      </c>
      <c r="Q687" t="str">
        <f t="shared" si="43"/>
        <v>Expiry before Received</v>
      </c>
      <c r="R687" s="3">
        <f t="shared" si="41"/>
        <v>4591.95</v>
      </c>
      <c r="S687">
        <f t="shared" si="40"/>
        <v>0</v>
      </c>
      <c r="T687" t="str">
        <f t="shared" si="42"/>
        <v>Sufficient Stock</v>
      </c>
    </row>
    <row r="688" spans="1:20" x14ac:dyDescent="0.3">
      <c r="A688" t="s">
        <v>2518</v>
      </c>
      <c r="B688" t="s">
        <v>63</v>
      </c>
      <c r="C688" t="s">
        <v>64</v>
      </c>
      <c r="D688" t="s">
        <v>2519</v>
      </c>
      <c r="E688" t="s">
        <v>2520</v>
      </c>
      <c r="F688">
        <v>60</v>
      </c>
      <c r="G688">
        <v>43</v>
      </c>
      <c r="H688">
        <v>32</v>
      </c>
      <c r="I688" s="1">
        <v>2.5</v>
      </c>
      <c r="J688" s="2">
        <v>45478</v>
      </c>
      <c r="K688" s="2">
        <v>45569</v>
      </c>
      <c r="L688" s="2">
        <v>45482</v>
      </c>
      <c r="M688" t="s">
        <v>2521</v>
      </c>
      <c r="N688">
        <v>77</v>
      </c>
      <c r="O688">
        <v>60</v>
      </c>
      <c r="P688" t="s">
        <v>44</v>
      </c>
      <c r="Q688" t="str">
        <f t="shared" si="43"/>
        <v>OK</v>
      </c>
      <c r="R688" s="3">
        <f t="shared" si="41"/>
        <v>150</v>
      </c>
      <c r="S688">
        <f t="shared" si="40"/>
        <v>0</v>
      </c>
      <c r="T688" t="str">
        <f t="shared" si="42"/>
        <v>Sufficient Stock</v>
      </c>
    </row>
    <row r="689" spans="1:20" x14ac:dyDescent="0.3">
      <c r="A689" t="s">
        <v>2522</v>
      </c>
      <c r="B689" t="s">
        <v>645</v>
      </c>
      <c r="C689" t="s">
        <v>64</v>
      </c>
      <c r="D689" t="s">
        <v>2523</v>
      </c>
      <c r="E689" t="s">
        <v>2524</v>
      </c>
      <c r="F689">
        <v>22</v>
      </c>
      <c r="G689">
        <v>43</v>
      </c>
      <c r="H689">
        <v>3</v>
      </c>
      <c r="I689" s="1">
        <v>4.0999999999999996</v>
      </c>
      <c r="J689" s="2">
        <v>45689</v>
      </c>
      <c r="K689" s="2">
        <v>45499</v>
      </c>
      <c r="L689" s="2">
        <v>45573</v>
      </c>
      <c r="M689" t="s">
        <v>2525</v>
      </c>
      <c r="N689">
        <v>45</v>
      </c>
      <c r="O689">
        <v>87</v>
      </c>
      <c r="P689" t="s">
        <v>38</v>
      </c>
      <c r="Q689" t="str">
        <f t="shared" si="43"/>
        <v>Expiry before Received</v>
      </c>
      <c r="R689" s="3">
        <f t="shared" si="41"/>
        <v>90.199999999999989</v>
      </c>
      <c r="S689">
        <f t="shared" si="40"/>
        <v>21</v>
      </c>
      <c r="T689" t="str">
        <f t="shared" si="42"/>
        <v>Reorder Required</v>
      </c>
    </row>
    <row r="690" spans="1:20" x14ac:dyDescent="0.3">
      <c r="A690" t="s">
        <v>2526</v>
      </c>
      <c r="B690" t="s">
        <v>501</v>
      </c>
      <c r="C690" t="s">
        <v>22</v>
      </c>
      <c r="D690" t="s">
        <v>2527</v>
      </c>
      <c r="E690" t="s">
        <v>2528</v>
      </c>
      <c r="F690">
        <v>79</v>
      </c>
      <c r="G690">
        <v>47</v>
      </c>
      <c r="H690">
        <v>51</v>
      </c>
      <c r="I690" s="1">
        <v>9.5</v>
      </c>
      <c r="J690" s="2">
        <v>45492</v>
      </c>
      <c r="K690" s="2">
        <v>45704</v>
      </c>
      <c r="L690" s="2">
        <v>45685</v>
      </c>
      <c r="M690" t="s">
        <v>2529</v>
      </c>
      <c r="N690">
        <v>83</v>
      </c>
      <c r="O690">
        <v>69</v>
      </c>
      <c r="P690" t="s">
        <v>26</v>
      </c>
      <c r="Q690" t="str">
        <f t="shared" si="43"/>
        <v>OK</v>
      </c>
      <c r="R690" s="3">
        <f t="shared" si="41"/>
        <v>750.5</v>
      </c>
      <c r="S690">
        <f t="shared" si="40"/>
        <v>0</v>
      </c>
      <c r="T690" t="str">
        <f t="shared" si="42"/>
        <v>Sufficient Stock</v>
      </c>
    </row>
    <row r="691" spans="1:20" x14ac:dyDescent="0.3">
      <c r="A691" t="s">
        <v>2530</v>
      </c>
      <c r="B691" t="s">
        <v>349</v>
      </c>
      <c r="C691" t="s">
        <v>47</v>
      </c>
      <c r="D691" t="s">
        <v>2531</v>
      </c>
      <c r="E691" t="s">
        <v>2042</v>
      </c>
      <c r="F691">
        <v>47</v>
      </c>
      <c r="G691">
        <v>63</v>
      </c>
      <c r="H691">
        <v>86</v>
      </c>
      <c r="I691" s="1">
        <v>4</v>
      </c>
      <c r="J691" s="2">
        <v>45431</v>
      </c>
      <c r="K691" s="2">
        <v>45701</v>
      </c>
      <c r="L691" s="2">
        <v>45419</v>
      </c>
      <c r="M691" t="s">
        <v>2532</v>
      </c>
      <c r="N691">
        <v>76</v>
      </c>
      <c r="O691">
        <v>29</v>
      </c>
      <c r="P691" t="s">
        <v>44</v>
      </c>
      <c r="Q691" t="str">
        <f t="shared" si="43"/>
        <v>Expiry before Received</v>
      </c>
      <c r="R691" s="3">
        <f t="shared" si="41"/>
        <v>188</v>
      </c>
      <c r="S691">
        <f t="shared" si="40"/>
        <v>16</v>
      </c>
      <c r="T691" t="str">
        <f t="shared" si="42"/>
        <v>Reorder Required</v>
      </c>
    </row>
    <row r="692" spans="1:20" x14ac:dyDescent="0.3">
      <c r="A692" t="s">
        <v>2533</v>
      </c>
      <c r="B692" t="s">
        <v>467</v>
      </c>
      <c r="C692" t="s">
        <v>22</v>
      </c>
      <c r="D692" t="s">
        <v>2534</v>
      </c>
      <c r="E692" t="s">
        <v>2268</v>
      </c>
      <c r="F692">
        <v>20</v>
      </c>
      <c r="G692">
        <v>25</v>
      </c>
      <c r="H692">
        <v>73</v>
      </c>
      <c r="I692" s="1">
        <v>4.75</v>
      </c>
      <c r="J692" s="2">
        <v>45573</v>
      </c>
      <c r="K692" s="2">
        <v>45475</v>
      </c>
      <c r="L692" s="2">
        <v>45560</v>
      </c>
      <c r="M692" t="s">
        <v>2535</v>
      </c>
      <c r="N692">
        <v>78</v>
      </c>
      <c r="O692">
        <v>1</v>
      </c>
      <c r="P692" t="s">
        <v>26</v>
      </c>
      <c r="Q692" t="str">
        <f t="shared" si="43"/>
        <v>Expiry before Received</v>
      </c>
      <c r="R692" s="3">
        <f t="shared" si="41"/>
        <v>95</v>
      </c>
      <c r="S692">
        <f t="shared" si="40"/>
        <v>5</v>
      </c>
      <c r="T692" t="str">
        <f t="shared" si="42"/>
        <v>Reorder Required</v>
      </c>
    </row>
    <row r="693" spans="1:20" x14ac:dyDescent="0.3">
      <c r="A693" t="s">
        <v>2536</v>
      </c>
      <c r="B693" t="s">
        <v>612</v>
      </c>
      <c r="C693" t="s">
        <v>64</v>
      </c>
      <c r="D693" t="s">
        <v>2537</v>
      </c>
      <c r="E693" t="s">
        <v>139</v>
      </c>
      <c r="F693">
        <v>41</v>
      </c>
      <c r="G693">
        <v>22</v>
      </c>
      <c r="H693">
        <v>11</v>
      </c>
      <c r="I693" s="1">
        <v>7</v>
      </c>
      <c r="J693" s="2">
        <v>45462</v>
      </c>
      <c r="K693" s="2">
        <v>45405</v>
      </c>
      <c r="L693" s="2">
        <v>45399</v>
      </c>
      <c r="M693" t="s">
        <v>2538</v>
      </c>
      <c r="N693">
        <v>86</v>
      </c>
      <c r="O693">
        <v>30</v>
      </c>
      <c r="P693" t="s">
        <v>44</v>
      </c>
      <c r="Q693" t="str">
        <f t="shared" si="43"/>
        <v>Expiry before Received</v>
      </c>
      <c r="R693" s="3">
        <f t="shared" si="41"/>
        <v>287</v>
      </c>
      <c r="S693">
        <f t="shared" si="40"/>
        <v>0</v>
      </c>
      <c r="T693" t="str">
        <f t="shared" si="42"/>
        <v>Sufficient Stock</v>
      </c>
    </row>
    <row r="694" spans="1:20" x14ac:dyDescent="0.3">
      <c r="A694" t="s">
        <v>2539</v>
      </c>
      <c r="B694" t="s">
        <v>508</v>
      </c>
      <c r="C694" t="s">
        <v>132</v>
      </c>
      <c r="D694" t="s">
        <v>2540</v>
      </c>
      <c r="E694" t="s">
        <v>1595</v>
      </c>
      <c r="F694">
        <v>46</v>
      </c>
      <c r="G694">
        <v>80</v>
      </c>
      <c r="H694">
        <v>88</v>
      </c>
      <c r="I694" s="1">
        <v>7</v>
      </c>
      <c r="J694" s="2">
        <v>45554</v>
      </c>
      <c r="K694" s="2">
        <v>45450</v>
      </c>
      <c r="L694" s="2">
        <v>45460</v>
      </c>
      <c r="M694" t="s">
        <v>2541</v>
      </c>
      <c r="N694">
        <v>62</v>
      </c>
      <c r="O694">
        <v>22</v>
      </c>
      <c r="P694" t="s">
        <v>26</v>
      </c>
      <c r="Q694" t="str">
        <f t="shared" si="43"/>
        <v>Expiry before Received</v>
      </c>
      <c r="R694" s="3">
        <f t="shared" si="41"/>
        <v>322</v>
      </c>
      <c r="S694">
        <f t="shared" si="40"/>
        <v>34</v>
      </c>
      <c r="T694" t="str">
        <f t="shared" si="42"/>
        <v>Reorder Required</v>
      </c>
    </row>
    <row r="695" spans="1:20" x14ac:dyDescent="0.3">
      <c r="A695" t="s">
        <v>2542</v>
      </c>
      <c r="B695" t="s">
        <v>455</v>
      </c>
      <c r="C695" t="s">
        <v>58</v>
      </c>
      <c r="D695" t="s">
        <v>2543</v>
      </c>
      <c r="E695" t="s">
        <v>338</v>
      </c>
      <c r="F695">
        <v>67</v>
      </c>
      <c r="G695">
        <v>57</v>
      </c>
      <c r="H695">
        <v>36</v>
      </c>
      <c r="I695" s="1">
        <v>1.8</v>
      </c>
      <c r="J695" s="2">
        <v>45506</v>
      </c>
      <c r="K695" s="2">
        <v>45392</v>
      </c>
      <c r="L695" s="2">
        <v>45439</v>
      </c>
      <c r="M695" t="s">
        <v>2544</v>
      </c>
      <c r="N695">
        <v>78</v>
      </c>
      <c r="O695">
        <v>60</v>
      </c>
      <c r="P695" t="s">
        <v>44</v>
      </c>
      <c r="Q695" t="str">
        <f t="shared" si="43"/>
        <v>Expiry before Received</v>
      </c>
      <c r="R695" s="3">
        <f t="shared" si="41"/>
        <v>120.60000000000001</v>
      </c>
      <c r="S695">
        <f t="shared" si="40"/>
        <v>0</v>
      </c>
      <c r="T695" t="str">
        <f t="shared" si="42"/>
        <v>Sufficient Stock</v>
      </c>
    </row>
    <row r="696" spans="1:20" x14ac:dyDescent="0.3">
      <c r="A696" t="s">
        <v>2545</v>
      </c>
      <c r="B696" t="s">
        <v>385</v>
      </c>
      <c r="C696" t="s">
        <v>22</v>
      </c>
      <c r="D696" t="s">
        <v>2546</v>
      </c>
      <c r="E696" t="s">
        <v>2547</v>
      </c>
      <c r="F696">
        <v>51</v>
      </c>
      <c r="G696">
        <v>19</v>
      </c>
      <c r="H696">
        <v>96</v>
      </c>
      <c r="I696" s="1">
        <v>4.5</v>
      </c>
      <c r="J696" s="2">
        <v>45619</v>
      </c>
      <c r="K696" s="2">
        <v>45697</v>
      </c>
      <c r="L696" s="2">
        <v>45469</v>
      </c>
      <c r="M696" t="s">
        <v>2548</v>
      </c>
      <c r="N696">
        <v>73</v>
      </c>
      <c r="O696">
        <v>42</v>
      </c>
      <c r="P696" t="s">
        <v>44</v>
      </c>
      <c r="Q696" t="str">
        <f t="shared" si="43"/>
        <v>Expiry before Received</v>
      </c>
      <c r="R696" s="3">
        <f t="shared" si="41"/>
        <v>229.5</v>
      </c>
      <c r="S696">
        <f t="shared" si="40"/>
        <v>0</v>
      </c>
      <c r="T696" t="str">
        <f t="shared" si="42"/>
        <v>Sufficient Stock</v>
      </c>
    </row>
    <row r="697" spans="1:20" x14ac:dyDescent="0.3">
      <c r="A697" t="s">
        <v>2549</v>
      </c>
      <c r="B697" t="s">
        <v>83</v>
      </c>
      <c r="C697" t="s">
        <v>22</v>
      </c>
      <c r="D697" t="s">
        <v>2550</v>
      </c>
      <c r="E697" t="s">
        <v>786</v>
      </c>
      <c r="F697">
        <v>42</v>
      </c>
      <c r="G697">
        <v>12</v>
      </c>
      <c r="H697">
        <v>28</v>
      </c>
      <c r="I697" s="1">
        <v>2</v>
      </c>
      <c r="J697" s="2">
        <v>45361</v>
      </c>
      <c r="K697" s="2">
        <v>45383</v>
      </c>
      <c r="L697" s="2">
        <v>45422</v>
      </c>
      <c r="M697" t="s">
        <v>2551</v>
      </c>
      <c r="N697">
        <v>80</v>
      </c>
      <c r="O697">
        <v>8</v>
      </c>
      <c r="P697" t="s">
        <v>26</v>
      </c>
      <c r="Q697" t="str">
        <f t="shared" si="43"/>
        <v>OK</v>
      </c>
      <c r="R697" s="3">
        <f t="shared" si="41"/>
        <v>84</v>
      </c>
      <c r="S697">
        <f t="shared" si="40"/>
        <v>0</v>
      </c>
      <c r="T697" t="str">
        <f t="shared" si="42"/>
        <v>Sufficient Stock</v>
      </c>
    </row>
    <row r="698" spans="1:20" x14ac:dyDescent="0.3">
      <c r="A698" t="s">
        <v>2552</v>
      </c>
      <c r="B698" t="s">
        <v>737</v>
      </c>
      <c r="C698" t="s">
        <v>58</v>
      </c>
      <c r="D698" t="s">
        <v>2553</v>
      </c>
      <c r="E698" t="s">
        <v>2554</v>
      </c>
      <c r="F698">
        <v>85</v>
      </c>
      <c r="G698">
        <v>86</v>
      </c>
      <c r="H698">
        <v>21</v>
      </c>
      <c r="I698" s="1">
        <v>6.5</v>
      </c>
      <c r="J698" s="2">
        <v>45473</v>
      </c>
      <c r="K698" s="2">
        <v>45497</v>
      </c>
      <c r="L698" s="2">
        <v>45491</v>
      </c>
      <c r="M698" t="s">
        <v>2555</v>
      </c>
      <c r="N698">
        <v>78</v>
      </c>
      <c r="O698">
        <v>53</v>
      </c>
      <c r="P698" t="s">
        <v>38</v>
      </c>
      <c r="Q698" t="str">
        <f t="shared" si="43"/>
        <v>OK</v>
      </c>
      <c r="R698" s="3">
        <f t="shared" si="41"/>
        <v>552.5</v>
      </c>
      <c r="S698">
        <f t="shared" si="40"/>
        <v>1</v>
      </c>
      <c r="T698" t="str">
        <f t="shared" si="42"/>
        <v>Reorder Required</v>
      </c>
    </row>
    <row r="699" spans="1:20" x14ac:dyDescent="0.3">
      <c r="A699" t="s">
        <v>2556</v>
      </c>
      <c r="B699" t="s">
        <v>864</v>
      </c>
      <c r="C699" t="s">
        <v>58</v>
      </c>
      <c r="D699" t="s">
        <v>2557</v>
      </c>
      <c r="E699" t="s">
        <v>757</v>
      </c>
      <c r="F699">
        <v>23</v>
      </c>
      <c r="G699">
        <v>43</v>
      </c>
      <c r="H699">
        <v>75</v>
      </c>
      <c r="I699" s="1">
        <v>2.5</v>
      </c>
      <c r="J699" s="2">
        <v>45604</v>
      </c>
      <c r="K699" s="2">
        <v>45596</v>
      </c>
      <c r="L699" s="2">
        <v>45385</v>
      </c>
      <c r="M699" t="s">
        <v>2558</v>
      </c>
      <c r="N699">
        <v>91</v>
      </c>
      <c r="O699">
        <v>86</v>
      </c>
      <c r="P699" t="s">
        <v>26</v>
      </c>
      <c r="Q699" t="str">
        <f t="shared" si="43"/>
        <v>Expiry before Received</v>
      </c>
      <c r="R699" s="3">
        <f t="shared" si="41"/>
        <v>57.5</v>
      </c>
      <c r="S699">
        <f t="shared" si="40"/>
        <v>20</v>
      </c>
      <c r="T699" t="str">
        <f t="shared" si="42"/>
        <v>Reorder Required</v>
      </c>
    </row>
    <row r="700" spans="1:20" x14ac:dyDescent="0.3">
      <c r="A700" t="s">
        <v>2559</v>
      </c>
      <c r="B700" t="s">
        <v>368</v>
      </c>
      <c r="C700" t="s">
        <v>47</v>
      </c>
      <c r="D700" t="s">
        <v>2560</v>
      </c>
      <c r="E700" t="s">
        <v>1773</v>
      </c>
      <c r="F700">
        <v>84</v>
      </c>
      <c r="G700">
        <v>26</v>
      </c>
      <c r="H700">
        <v>37</v>
      </c>
      <c r="I700" s="1">
        <v>4.5</v>
      </c>
      <c r="J700" s="2">
        <v>45397</v>
      </c>
      <c r="K700" s="2">
        <v>45349</v>
      </c>
      <c r="L700" s="2">
        <v>45681</v>
      </c>
      <c r="M700" t="s">
        <v>2561</v>
      </c>
      <c r="N700">
        <v>46</v>
      </c>
      <c r="O700">
        <v>67</v>
      </c>
      <c r="P700" t="s">
        <v>38</v>
      </c>
      <c r="Q700" t="str">
        <f t="shared" si="43"/>
        <v>Last Order before Received</v>
      </c>
      <c r="R700" s="3">
        <f t="shared" si="41"/>
        <v>378</v>
      </c>
      <c r="S700">
        <f t="shared" si="40"/>
        <v>0</v>
      </c>
      <c r="T700" t="str">
        <f t="shared" si="42"/>
        <v>Sufficient Stock</v>
      </c>
    </row>
    <row r="701" spans="1:20" x14ac:dyDescent="0.3">
      <c r="A701" t="s">
        <v>2562</v>
      </c>
      <c r="B701" t="s">
        <v>69</v>
      </c>
      <c r="C701" t="s">
        <v>47</v>
      </c>
      <c r="D701" t="s">
        <v>2563</v>
      </c>
      <c r="E701" t="s">
        <v>2564</v>
      </c>
      <c r="F701">
        <v>28</v>
      </c>
      <c r="G701">
        <v>38</v>
      </c>
      <c r="H701">
        <v>23</v>
      </c>
      <c r="I701" s="1">
        <v>42.58</v>
      </c>
      <c r="J701" s="2">
        <v>45593</v>
      </c>
      <c r="K701" s="2">
        <v>45641</v>
      </c>
      <c r="L701" s="2">
        <v>45512</v>
      </c>
      <c r="M701" t="s">
        <v>2565</v>
      </c>
      <c r="N701">
        <v>48</v>
      </c>
      <c r="O701">
        <v>56</v>
      </c>
      <c r="P701" t="s">
        <v>38</v>
      </c>
      <c r="Q701" t="str">
        <f t="shared" si="43"/>
        <v>Expiry before Received</v>
      </c>
      <c r="R701" s="3">
        <f t="shared" si="41"/>
        <v>1192.24</v>
      </c>
      <c r="S701">
        <f t="shared" si="40"/>
        <v>10</v>
      </c>
      <c r="T701" t="str">
        <f t="shared" si="42"/>
        <v>Reorder Required</v>
      </c>
    </row>
    <row r="702" spans="1:20" x14ac:dyDescent="0.3">
      <c r="A702" t="s">
        <v>2566</v>
      </c>
      <c r="B702" t="s">
        <v>282</v>
      </c>
      <c r="C702" t="s">
        <v>89</v>
      </c>
      <c r="D702" t="s">
        <v>2567</v>
      </c>
      <c r="E702" t="s">
        <v>1283</v>
      </c>
      <c r="F702">
        <v>62</v>
      </c>
      <c r="G702">
        <v>49</v>
      </c>
      <c r="H702">
        <v>38</v>
      </c>
      <c r="I702" s="1">
        <v>2.5</v>
      </c>
      <c r="J702" s="2">
        <v>45642</v>
      </c>
      <c r="K702" s="2">
        <v>45441</v>
      </c>
      <c r="L702" s="2">
        <v>45574</v>
      </c>
      <c r="M702" t="s">
        <v>2568</v>
      </c>
      <c r="N702">
        <v>42</v>
      </c>
      <c r="O702">
        <v>44</v>
      </c>
      <c r="P702" t="s">
        <v>26</v>
      </c>
      <c r="Q702" t="str">
        <f t="shared" si="43"/>
        <v>Expiry before Received</v>
      </c>
      <c r="R702" s="3">
        <f t="shared" si="41"/>
        <v>155</v>
      </c>
      <c r="S702">
        <f t="shared" si="40"/>
        <v>0</v>
      </c>
      <c r="T702" t="str">
        <f t="shared" si="42"/>
        <v>Sufficient Stock</v>
      </c>
    </row>
    <row r="703" spans="1:20" x14ac:dyDescent="0.3">
      <c r="A703" t="s">
        <v>2569</v>
      </c>
      <c r="B703" t="s">
        <v>63</v>
      </c>
      <c r="C703" t="s">
        <v>64</v>
      </c>
      <c r="D703" t="s">
        <v>2570</v>
      </c>
      <c r="E703" t="s">
        <v>1224</v>
      </c>
      <c r="F703">
        <v>65</v>
      </c>
      <c r="G703">
        <v>94</v>
      </c>
      <c r="H703">
        <v>4</v>
      </c>
      <c r="I703" s="1">
        <v>2.5</v>
      </c>
      <c r="J703" s="2">
        <v>45504</v>
      </c>
      <c r="K703" s="2">
        <v>45687</v>
      </c>
      <c r="L703" s="2">
        <v>45654</v>
      </c>
      <c r="M703" t="s">
        <v>2571</v>
      </c>
      <c r="N703">
        <v>66</v>
      </c>
      <c r="O703">
        <v>36</v>
      </c>
      <c r="P703" t="s">
        <v>38</v>
      </c>
      <c r="Q703" t="str">
        <f t="shared" si="43"/>
        <v>OK</v>
      </c>
      <c r="R703" s="3">
        <f t="shared" si="41"/>
        <v>162.5</v>
      </c>
      <c r="S703">
        <f t="shared" si="40"/>
        <v>29</v>
      </c>
      <c r="T703" t="str">
        <f t="shared" si="42"/>
        <v>Reorder Required</v>
      </c>
    </row>
    <row r="704" spans="1:20" x14ac:dyDescent="0.3">
      <c r="A704" t="s">
        <v>2572</v>
      </c>
      <c r="B704" t="s">
        <v>881</v>
      </c>
      <c r="C704" t="s">
        <v>47</v>
      </c>
      <c r="D704" t="s">
        <v>2573</v>
      </c>
      <c r="E704" t="s">
        <v>2574</v>
      </c>
      <c r="F704">
        <v>18</v>
      </c>
      <c r="G704">
        <v>8</v>
      </c>
      <c r="H704">
        <v>68</v>
      </c>
      <c r="I704" s="1">
        <v>2</v>
      </c>
      <c r="J704" s="2">
        <v>45445</v>
      </c>
      <c r="K704" s="2">
        <v>45568</v>
      </c>
      <c r="L704" s="2">
        <v>45401</v>
      </c>
      <c r="M704" t="s">
        <v>2575</v>
      </c>
      <c r="N704">
        <v>54</v>
      </c>
      <c r="O704">
        <v>45</v>
      </c>
      <c r="P704" t="s">
        <v>38</v>
      </c>
      <c r="Q704" t="str">
        <f t="shared" si="43"/>
        <v>Expiry before Received</v>
      </c>
      <c r="R704" s="3">
        <f t="shared" si="41"/>
        <v>36</v>
      </c>
      <c r="S704">
        <f t="shared" si="40"/>
        <v>0</v>
      </c>
      <c r="T704" t="str">
        <f t="shared" si="42"/>
        <v>Sufficient Stock</v>
      </c>
    </row>
    <row r="705" spans="1:20" x14ac:dyDescent="0.3">
      <c r="A705" t="s">
        <v>2576</v>
      </c>
      <c r="B705" t="s">
        <v>2288</v>
      </c>
      <c r="C705" t="s">
        <v>64</v>
      </c>
      <c r="D705" t="s">
        <v>2577</v>
      </c>
      <c r="E705" t="s">
        <v>2578</v>
      </c>
      <c r="F705">
        <v>70</v>
      </c>
      <c r="G705">
        <v>29</v>
      </c>
      <c r="H705">
        <v>24</v>
      </c>
      <c r="I705" s="1">
        <v>0.2</v>
      </c>
      <c r="J705" s="2">
        <v>45382</v>
      </c>
      <c r="K705" s="2">
        <v>45591</v>
      </c>
      <c r="L705" s="2">
        <v>45552</v>
      </c>
      <c r="M705" t="s">
        <v>2579</v>
      </c>
      <c r="N705">
        <v>62</v>
      </c>
      <c r="O705">
        <v>55</v>
      </c>
      <c r="P705" t="s">
        <v>38</v>
      </c>
      <c r="Q705" t="str">
        <f t="shared" si="43"/>
        <v>OK</v>
      </c>
      <c r="R705" s="3">
        <f t="shared" si="41"/>
        <v>14</v>
      </c>
      <c r="S705">
        <f t="shared" si="40"/>
        <v>0</v>
      </c>
      <c r="T705" t="str">
        <f t="shared" si="42"/>
        <v>Sufficient Stock</v>
      </c>
    </row>
    <row r="706" spans="1:20" x14ac:dyDescent="0.3">
      <c r="A706" t="s">
        <v>2580</v>
      </c>
      <c r="B706" t="s">
        <v>710</v>
      </c>
      <c r="C706" t="s">
        <v>58</v>
      </c>
      <c r="D706" t="s">
        <v>2581</v>
      </c>
      <c r="E706" t="s">
        <v>1011</v>
      </c>
      <c r="F706">
        <v>23</v>
      </c>
      <c r="G706">
        <v>71</v>
      </c>
      <c r="H706">
        <v>32</v>
      </c>
      <c r="I706" s="1">
        <v>2</v>
      </c>
      <c r="J706" s="2">
        <v>45396</v>
      </c>
      <c r="K706" s="2">
        <v>45673</v>
      </c>
      <c r="L706" s="2">
        <v>45522</v>
      </c>
      <c r="M706" t="s">
        <v>2582</v>
      </c>
      <c r="N706">
        <v>63</v>
      </c>
      <c r="O706">
        <v>23</v>
      </c>
      <c r="P706" t="s">
        <v>26</v>
      </c>
      <c r="Q706" t="str">
        <f t="shared" si="43"/>
        <v>OK</v>
      </c>
      <c r="R706" s="3">
        <f t="shared" si="41"/>
        <v>46</v>
      </c>
      <c r="S706">
        <f t="shared" ref="S706:S769" si="44">MAX(0,G706-F706)</f>
        <v>48</v>
      </c>
      <c r="T706" t="str">
        <f t="shared" si="42"/>
        <v>Reorder Required</v>
      </c>
    </row>
    <row r="707" spans="1:20" x14ac:dyDescent="0.3">
      <c r="A707" t="s">
        <v>2583</v>
      </c>
      <c r="B707" t="s">
        <v>467</v>
      </c>
      <c r="C707" t="s">
        <v>22</v>
      </c>
      <c r="D707" t="s">
        <v>2584</v>
      </c>
      <c r="E707" t="s">
        <v>1024</v>
      </c>
      <c r="F707">
        <v>26</v>
      </c>
      <c r="G707">
        <v>83</v>
      </c>
      <c r="H707">
        <v>24</v>
      </c>
      <c r="I707" s="1">
        <v>4.75</v>
      </c>
      <c r="J707" s="2">
        <v>45695</v>
      </c>
      <c r="K707" s="2">
        <v>45594</v>
      </c>
      <c r="L707" s="2">
        <v>45429</v>
      </c>
      <c r="M707" t="s">
        <v>2585</v>
      </c>
      <c r="N707">
        <v>75</v>
      </c>
      <c r="O707">
        <v>12</v>
      </c>
      <c r="P707" t="s">
        <v>38</v>
      </c>
      <c r="Q707" t="str">
        <f t="shared" si="43"/>
        <v>Expiry before Received</v>
      </c>
      <c r="R707" s="3">
        <f t="shared" ref="R707:R770" si="45">F707*I707</f>
        <v>123.5</v>
      </c>
      <c r="S707">
        <f t="shared" si="44"/>
        <v>57</v>
      </c>
      <c r="T707" t="str">
        <f t="shared" ref="T707:T770" si="46">IF(F707&lt;G707,"Reorder Required","Sufficient Stock")</f>
        <v>Reorder Required</v>
      </c>
    </row>
    <row r="708" spans="1:20" x14ac:dyDescent="0.3">
      <c r="A708" t="s">
        <v>2586</v>
      </c>
      <c r="B708" t="s">
        <v>775</v>
      </c>
      <c r="C708" t="s">
        <v>29</v>
      </c>
      <c r="D708" t="s">
        <v>2587</v>
      </c>
      <c r="E708" t="s">
        <v>1917</v>
      </c>
      <c r="F708">
        <v>20</v>
      </c>
      <c r="G708">
        <v>42</v>
      </c>
      <c r="H708">
        <v>45</v>
      </c>
      <c r="I708" s="1">
        <v>10</v>
      </c>
      <c r="J708" s="2">
        <v>45373</v>
      </c>
      <c r="K708" s="2">
        <v>45468</v>
      </c>
      <c r="L708" s="2">
        <v>45557</v>
      </c>
      <c r="M708" t="s">
        <v>2588</v>
      </c>
      <c r="N708">
        <v>72</v>
      </c>
      <c r="O708">
        <v>28</v>
      </c>
      <c r="P708" t="s">
        <v>26</v>
      </c>
      <c r="Q708" t="str">
        <f t="shared" si="43"/>
        <v>OK</v>
      </c>
      <c r="R708" s="3">
        <f t="shared" si="45"/>
        <v>200</v>
      </c>
      <c r="S708">
        <f t="shared" si="44"/>
        <v>22</v>
      </c>
      <c r="T708" t="str">
        <f t="shared" si="46"/>
        <v>Reorder Required</v>
      </c>
    </row>
    <row r="709" spans="1:20" x14ac:dyDescent="0.3">
      <c r="A709" t="s">
        <v>2589</v>
      </c>
      <c r="B709" t="s">
        <v>344</v>
      </c>
      <c r="C709" t="s">
        <v>64</v>
      </c>
      <c r="D709" t="s">
        <v>2590</v>
      </c>
      <c r="E709" t="s">
        <v>2591</v>
      </c>
      <c r="F709">
        <v>55</v>
      </c>
      <c r="G709">
        <v>58</v>
      </c>
      <c r="H709">
        <v>6</v>
      </c>
      <c r="I709" s="1">
        <v>7.2</v>
      </c>
      <c r="J709" s="2">
        <v>45674</v>
      </c>
      <c r="K709" s="2">
        <v>45485</v>
      </c>
      <c r="L709" s="2">
        <v>45558</v>
      </c>
      <c r="M709" t="s">
        <v>2592</v>
      </c>
      <c r="N709">
        <v>48</v>
      </c>
      <c r="O709">
        <v>17</v>
      </c>
      <c r="P709" t="s">
        <v>26</v>
      </c>
      <c r="Q709" t="str">
        <f t="shared" si="43"/>
        <v>Expiry before Received</v>
      </c>
      <c r="R709" s="3">
        <f t="shared" si="45"/>
        <v>396</v>
      </c>
      <c r="S709">
        <f t="shared" si="44"/>
        <v>3</v>
      </c>
      <c r="T709" t="str">
        <f t="shared" si="46"/>
        <v>Reorder Required</v>
      </c>
    </row>
    <row r="710" spans="1:20" x14ac:dyDescent="0.3">
      <c r="A710" t="s">
        <v>2593</v>
      </c>
      <c r="B710" t="s">
        <v>771</v>
      </c>
      <c r="C710" t="s">
        <v>22</v>
      </c>
      <c r="D710" t="s">
        <v>2594</v>
      </c>
      <c r="E710" t="s">
        <v>2595</v>
      </c>
      <c r="F710">
        <v>82</v>
      </c>
      <c r="G710">
        <v>67</v>
      </c>
      <c r="H710">
        <v>67</v>
      </c>
      <c r="I710" s="1">
        <v>2.75</v>
      </c>
      <c r="J710" s="2">
        <v>45376</v>
      </c>
      <c r="K710" s="2">
        <v>45480</v>
      </c>
      <c r="L710" s="2">
        <v>45584</v>
      </c>
      <c r="M710" t="s">
        <v>2596</v>
      </c>
      <c r="N710">
        <v>26</v>
      </c>
      <c r="O710">
        <v>1</v>
      </c>
      <c r="P710" t="s">
        <v>38</v>
      </c>
      <c r="Q710" t="str">
        <f t="shared" si="43"/>
        <v>OK</v>
      </c>
      <c r="R710" s="3">
        <f t="shared" si="45"/>
        <v>225.5</v>
      </c>
      <c r="S710">
        <f t="shared" si="44"/>
        <v>0</v>
      </c>
      <c r="T710" t="str">
        <f t="shared" si="46"/>
        <v>Sufficient Stock</v>
      </c>
    </row>
    <row r="711" spans="1:20" x14ac:dyDescent="0.3">
      <c r="A711" t="s">
        <v>2597</v>
      </c>
      <c r="B711" t="s">
        <v>1479</v>
      </c>
      <c r="C711" t="s">
        <v>132</v>
      </c>
      <c r="D711" t="s">
        <v>2598</v>
      </c>
      <c r="E711" t="s">
        <v>2599</v>
      </c>
      <c r="F711">
        <v>73</v>
      </c>
      <c r="G711">
        <v>12</v>
      </c>
      <c r="H711">
        <v>28</v>
      </c>
      <c r="I711" s="1">
        <v>15</v>
      </c>
      <c r="J711" s="2">
        <v>45550</v>
      </c>
      <c r="K711" s="2">
        <v>45451</v>
      </c>
      <c r="L711" s="2">
        <v>45625</v>
      </c>
      <c r="M711" t="s">
        <v>2600</v>
      </c>
      <c r="N711">
        <v>89</v>
      </c>
      <c r="O711">
        <v>92</v>
      </c>
      <c r="P711" t="s">
        <v>44</v>
      </c>
      <c r="Q711" t="str">
        <f t="shared" ref="Q711:Q774" si="47">IF(L711&lt;J711,"Expiry before Received",IF(K711&lt;J711,"Last Order before Received","OK"))</f>
        <v>Last Order before Received</v>
      </c>
      <c r="R711" s="3">
        <f t="shared" si="45"/>
        <v>1095</v>
      </c>
      <c r="S711">
        <f t="shared" si="44"/>
        <v>0</v>
      </c>
      <c r="T711" t="str">
        <f t="shared" si="46"/>
        <v>Sufficient Stock</v>
      </c>
    </row>
    <row r="712" spans="1:20" x14ac:dyDescent="0.3">
      <c r="A712" t="s">
        <v>2601</v>
      </c>
      <c r="B712" t="s">
        <v>336</v>
      </c>
      <c r="C712" t="s">
        <v>29</v>
      </c>
      <c r="D712" t="s">
        <v>2602</v>
      </c>
      <c r="E712" t="s">
        <v>2603</v>
      </c>
      <c r="F712">
        <v>81</v>
      </c>
      <c r="G712">
        <v>83</v>
      </c>
      <c r="H712">
        <v>36</v>
      </c>
      <c r="I712" s="1">
        <v>25</v>
      </c>
      <c r="J712" s="2">
        <v>45591</v>
      </c>
      <c r="K712" s="2">
        <v>45664</v>
      </c>
      <c r="L712" s="2">
        <v>45581</v>
      </c>
      <c r="M712" t="s">
        <v>2604</v>
      </c>
      <c r="N712">
        <v>74</v>
      </c>
      <c r="O712">
        <v>86</v>
      </c>
      <c r="P712" t="s">
        <v>38</v>
      </c>
      <c r="Q712" t="str">
        <f t="shared" si="47"/>
        <v>Expiry before Received</v>
      </c>
      <c r="R712" s="3">
        <f t="shared" si="45"/>
        <v>2025</v>
      </c>
      <c r="S712">
        <f t="shared" si="44"/>
        <v>2</v>
      </c>
      <c r="T712" t="str">
        <f t="shared" si="46"/>
        <v>Reorder Required</v>
      </c>
    </row>
    <row r="713" spans="1:20" x14ac:dyDescent="0.3">
      <c r="A713" t="s">
        <v>2605</v>
      </c>
      <c r="B713" t="s">
        <v>201</v>
      </c>
      <c r="C713" t="s">
        <v>47</v>
      </c>
      <c r="D713" t="s">
        <v>2606</v>
      </c>
      <c r="E713" t="s">
        <v>914</v>
      </c>
      <c r="F713">
        <v>20</v>
      </c>
      <c r="G713">
        <v>65</v>
      </c>
      <c r="H713">
        <v>61</v>
      </c>
      <c r="I713" s="1">
        <v>2</v>
      </c>
      <c r="J713" s="2">
        <v>45477</v>
      </c>
      <c r="K713" s="2">
        <v>45483</v>
      </c>
      <c r="L713" s="2">
        <v>45580</v>
      </c>
      <c r="M713" t="s">
        <v>2607</v>
      </c>
      <c r="N713">
        <v>51</v>
      </c>
      <c r="O713">
        <v>78</v>
      </c>
      <c r="P713" t="s">
        <v>44</v>
      </c>
      <c r="Q713" t="str">
        <f t="shared" si="47"/>
        <v>OK</v>
      </c>
      <c r="R713" s="3">
        <f t="shared" si="45"/>
        <v>40</v>
      </c>
      <c r="S713">
        <f t="shared" si="44"/>
        <v>45</v>
      </c>
      <c r="T713" t="str">
        <f t="shared" si="46"/>
        <v>Reorder Required</v>
      </c>
    </row>
    <row r="714" spans="1:20" x14ac:dyDescent="0.3">
      <c r="A714" t="s">
        <v>2608</v>
      </c>
      <c r="B714" t="s">
        <v>234</v>
      </c>
      <c r="C714" t="s">
        <v>29</v>
      </c>
      <c r="D714" t="s">
        <v>2609</v>
      </c>
      <c r="E714" t="s">
        <v>1639</v>
      </c>
      <c r="F714">
        <v>78</v>
      </c>
      <c r="G714">
        <v>38</v>
      </c>
      <c r="H714">
        <v>27</v>
      </c>
      <c r="I714" s="1">
        <v>15</v>
      </c>
      <c r="J714" s="2">
        <v>45388</v>
      </c>
      <c r="K714" s="2">
        <v>45482</v>
      </c>
      <c r="L714" s="2">
        <v>45547</v>
      </c>
      <c r="M714" t="s">
        <v>2610</v>
      </c>
      <c r="N714">
        <v>54</v>
      </c>
      <c r="O714">
        <v>42</v>
      </c>
      <c r="P714" t="s">
        <v>44</v>
      </c>
      <c r="Q714" t="str">
        <f t="shared" si="47"/>
        <v>OK</v>
      </c>
      <c r="R714" s="3">
        <f t="shared" si="45"/>
        <v>1170</v>
      </c>
      <c r="S714">
        <f t="shared" si="44"/>
        <v>0</v>
      </c>
      <c r="T714" t="str">
        <f t="shared" si="46"/>
        <v>Sufficient Stock</v>
      </c>
    </row>
    <row r="715" spans="1:20" x14ac:dyDescent="0.3">
      <c r="A715" t="s">
        <v>2611</v>
      </c>
      <c r="B715" t="s">
        <v>397</v>
      </c>
      <c r="C715" t="s">
        <v>89</v>
      </c>
      <c r="D715" t="s">
        <v>2612</v>
      </c>
      <c r="E715" t="s">
        <v>2613</v>
      </c>
      <c r="F715">
        <v>84</v>
      </c>
      <c r="G715">
        <v>58</v>
      </c>
      <c r="H715">
        <v>28</v>
      </c>
      <c r="I715" s="1">
        <v>6</v>
      </c>
      <c r="J715" s="2">
        <v>45399</v>
      </c>
      <c r="K715" s="2">
        <v>45692</v>
      </c>
      <c r="L715" s="2">
        <v>45437</v>
      </c>
      <c r="M715" t="s">
        <v>2614</v>
      </c>
      <c r="N715">
        <v>51</v>
      </c>
      <c r="O715">
        <v>12</v>
      </c>
      <c r="P715" t="s">
        <v>44</v>
      </c>
      <c r="Q715" t="str">
        <f t="shared" si="47"/>
        <v>OK</v>
      </c>
      <c r="R715" s="3">
        <f t="shared" si="45"/>
        <v>504</v>
      </c>
      <c r="S715">
        <f t="shared" si="44"/>
        <v>0</v>
      </c>
      <c r="T715" t="str">
        <f t="shared" si="46"/>
        <v>Sufficient Stock</v>
      </c>
    </row>
    <row r="716" spans="1:20" x14ac:dyDescent="0.3">
      <c r="A716" t="s">
        <v>2615</v>
      </c>
      <c r="B716" t="s">
        <v>57</v>
      </c>
      <c r="C716" t="s">
        <v>58</v>
      </c>
      <c r="D716" t="s">
        <v>2616</v>
      </c>
      <c r="E716" t="s">
        <v>173</v>
      </c>
      <c r="F716">
        <v>32</v>
      </c>
      <c r="G716">
        <v>38</v>
      </c>
      <c r="H716">
        <v>23</v>
      </c>
      <c r="I716" s="1">
        <v>2.5</v>
      </c>
      <c r="J716" s="2">
        <v>45459</v>
      </c>
      <c r="K716" s="2">
        <v>45441</v>
      </c>
      <c r="L716" s="2">
        <v>45690</v>
      </c>
      <c r="M716" t="s">
        <v>2617</v>
      </c>
      <c r="N716">
        <v>52</v>
      </c>
      <c r="O716">
        <v>11</v>
      </c>
      <c r="P716" t="s">
        <v>26</v>
      </c>
      <c r="Q716" t="str">
        <f t="shared" si="47"/>
        <v>Last Order before Received</v>
      </c>
      <c r="R716" s="3">
        <f t="shared" si="45"/>
        <v>80</v>
      </c>
      <c r="S716">
        <f t="shared" si="44"/>
        <v>6</v>
      </c>
      <c r="T716" t="str">
        <f t="shared" si="46"/>
        <v>Reorder Required</v>
      </c>
    </row>
    <row r="717" spans="1:20" x14ac:dyDescent="0.3">
      <c r="A717" t="s">
        <v>2618</v>
      </c>
      <c r="B717" t="s">
        <v>1538</v>
      </c>
      <c r="C717" t="s">
        <v>58</v>
      </c>
      <c r="D717" t="s">
        <v>2619</v>
      </c>
      <c r="E717" t="s">
        <v>2613</v>
      </c>
      <c r="F717">
        <v>90</v>
      </c>
      <c r="G717">
        <v>75</v>
      </c>
      <c r="H717">
        <v>6</v>
      </c>
      <c r="I717" s="1">
        <v>5</v>
      </c>
      <c r="J717" s="2">
        <v>45479</v>
      </c>
      <c r="K717" s="2">
        <v>45658</v>
      </c>
      <c r="L717" s="2">
        <v>45535</v>
      </c>
      <c r="M717" t="s">
        <v>2620</v>
      </c>
      <c r="N717">
        <v>55</v>
      </c>
      <c r="O717">
        <v>64</v>
      </c>
      <c r="P717" t="s">
        <v>44</v>
      </c>
      <c r="Q717" t="str">
        <f t="shared" si="47"/>
        <v>OK</v>
      </c>
      <c r="R717" s="3">
        <f t="shared" si="45"/>
        <v>450</v>
      </c>
      <c r="S717">
        <f t="shared" si="44"/>
        <v>0</v>
      </c>
      <c r="T717" t="str">
        <f t="shared" si="46"/>
        <v>Sufficient Stock</v>
      </c>
    </row>
    <row r="718" spans="1:20" x14ac:dyDescent="0.3">
      <c r="A718" t="s">
        <v>2621</v>
      </c>
      <c r="B718" t="s">
        <v>1192</v>
      </c>
      <c r="C718" t="s">
        <v>64</v>
      </c>
      <c r="D718" t="s">
        <v>2622</v>
      </c>
      <c r="E718" t="s">
        <v>1220</v>
      </c>
      <c r="F718">
        <v>70</v>
      </c>
      <c r="G718">
        <v>81</v>
      </c>
      <c r="H718">
        <v>75</v>
      </c>
      <c r="I718" s="1">
        <v>2</v>
      </c>
      <c r="J718" s="2">
        <v>45543</v>
      </c>
      <c r="K718" s="2">
        <v>45349</v>
      </c>
      <c r="L718" s="2">
        <v>45351</v>
      </c>
      <c r="M718" t="s">
        <v>2623</v>
      </c>
      <c r="N718">
        <v>24</v>
      </c>
      <c r="O718">
        <v>54</v>
      </c>
      <c r="P718" t="s">
        <v>38</v>
      </c>
      <c r="Q718" t="str">
        <f t="shared" si="47"/>
        <v>Expiry before Received</v>
      </c>
      <c r="R718" s="3">
        <f t="shared" si="45"/>
        <v>140</v>
      </c>
      <c r="S718">
        <f t="shared" si="44"/>
        <v>11</v>
      </c>
      <c r="T718" t="str">
        <f t="shared" si="46"/>
        <v>Reorder Required</v>
      </c>
    </row>
    <row r="719" spans="1:20" x14ac:dyDescent="0.3">
      <c r="A719" t="s">
        <v>2624</v>
      </c>
      <c r="B719" t="s">
        <v>368</v>
      </c>
      <c r="C719" t="s">
        <v>47</v>
      </c>
      <c r="D719" t="s">
        <v>2625</v>
      </c>
      <c r="E719" t="s">
        <v>2626</v>
      </c>
      <c r="F719">
        <v>90</v>
      </c>
      <c r="G719">
        <v>22</v>
      </c>
      <c r="H719">
        <v>20</v>
      </c>
      <c r="I719" s="1">
        <v>4.5</v>
      </c>
      <c r="J719" s="2">
        <v>45473</v>
      </c>
      <c r="K719" s="2">
        <v>45710</v>
      </c>
      <c r="L719" s="2">
        <v>45670</v>
      </c>
      <c r="M719" t="s">
        <v>2627</v>
      </c>
      <c r="N719">
        <v>81</v>
      </c>
      <c r="O719">
        <v>88</v>
      </c>
      <c r="P719" t="s">
        <v>38</v>
      </c>
      <c r="Q719" t="str">
        <f t="shared" si="47"/>
        <v>OK</v>
      </c>
      <c r="R719" s="3">
        <f t="shared" si="45"/>
        <v>405</v>
      </c>
      <c r="S719">
        <f t="shared" si="44"/>
        <v>0</v>
      </c>
      <c r="T719" t="str">
        <f t="shared" si="46"/>
        <v>Sufficient Stock</v>
      </c>
    </row>
    <row r="720" spans="1:20" x14ac:dyDescent="0.3">
      <c r="A720" t="s">
        <v>2628</v>
      </c>
      <c r="B720" t="s">
        <v>512</v>
      </c>
      <c r="C720" t="s">
        <v>47</v>
      </c>
      <c r="D720" t="s">
        <v>2629</v>
      </c>
      <c r="E720" t="s">
        <v>626</v>
      </c>
      <c r="F720">
        <v>100</v>
      </c>
      <c r="G720">
        <v>7</v>
      </c>
      <c r="H720">
        <v>14</v>
      </c>
      <c r="I720" s="1">
        <v>2</v>
      </c>
      <c r="J720" s="2">
        <v>45642</v>
      </c>
      <c r="K720" s="2">
        <v>45357</v>
      </c>
      <c r="L720" s="2">
        <v>45498</v>
      </c>
      <c r="M720" t="s">
        <v>2630</v>
      </c>
      <c r="N720">
        <v>26</v>
      </c>
      <c r="O720">
        <v>33</v>
      </c>
      <c r="P720" t="s">
        <v>38</v>
      </c>
      <c r="Q720" t="str">
        <f t="shared" si="47"/>
        <v>Expiry before Received</v>
      </c>
      <c r="R720" s="3">
        <f t="shared" si="45"/>
        <v>200</v>
      </c>
      <c r="S720">
        <f t="shared" si="44"/>
        <v>0</v>
      </c>
      <c r="T720" t="str">
        <f t="shared" si="46"/>
        <v>Sufficient Stock</v>
      </c>
    </row>
    <row r="721" spans="1:20" x14ac:dyDescent="0.3">
      <c r="A721" t="s">
        <v>2631</v>
      </c>
      <c r="B721" t="s">
        <v>1145</v>
      </c>
      <c r="C721" t="s">
        <v>22</v>
      </c>
      <c r="D721" t="s">
        <v>2632</v>
      </c>
      <c r="E721" t="s">
        <v>1581</v>
      </c>
      <c r="F721">
        <v>89</v>
      </c>
      <c r="G721">
        <v>54</v>
      </c>
      <c r="H721">
        <v>15</v>
      </c>
      <c r="I721" s="1">
        <v>2.5</v>
      </c>
      <c r="J721" s="2">
        <v>45574</v>
      </c>
      <c r="K721" s="2">
        <v>45505</v>
      </c>
      <c r="L721" s="2">
        <v>45415</v>
      </c>
      <c r="M721" t="s">
        <v>2633</v>
      </c>
      <c r="N721">
        <v>64</v>
      </c>
      <c r="O721">
        <v>63</v>
      </c>
      <c r="P721" t="s">
        <v>44</v>
      </c>
      <c r="Q721" t="str">
        <f t="shared" si="47"/>
        <v>Expiry before Received</v>
      </c>
      <c r="R721" s="3">
        <f t="shared" si="45"/>
        <v>222.5</v>
      </c>
      <c r="S721">
        <f t="shared" si="44"/>
        <v>0</v>
      </c>
      <c r="T721" t="str">
        <f t="shared" si="46"/>
        <v>Sufficient Stock</v>
      </c>
    </row>
    <row r="722" spans="1:20" x14ac:dyDescent="0.3">
      <c r="A722" t="s">
        <v>2634</v>
      </c>
      <c r="B722" t="s">
        <v>771</v>
      </c>
      <c r="C722" t="s">
        <v>22</v>
      </c>
      <c r="D722" t="s">
        <v>2635</v>
      </c>
      <c r="E722" t="s">
        <v>54</v>
      </c>
      <c r="F722">
        <v>38</v>
      </c>
      <c r="G722">
        <v>43</v>
      </c>
      <c r="H722">
        <v>28</v>
      </c>
      <c r="I722" s="1">
        <v>2.7</v>
      </c>
      <c r="J722" s="2">
        <v>45566</v>
      </c>
      <c r="K722" s="2">
        <v>45499</v>
      </c>
      <c r="L722" s="2">
        <v>45550</v>
      </c>
      <c r="M722" t="s">
        <v>2636</v>
      </c>
      <c r="N722">
        <v>34</v>
      </c>
      <c r="O722">
        <v>54</v>
      </c>
      <c r="P722" t="s">
        <v>38</v>
      </c>
      <c r="Q722" t="str">
        <f t="shared" si="47"/>
        <v>Expiry before Received</v>
      </c>
      <c r="R722" s="3">
        <f t="shared" si="45"/>
        <v>102.60000000000001</v>
      </c>
      <c r="S722">
        <f t="shared" si="44"/>
        <v>5</v>
      </c>
      <c r="T722" t="str">
        <f t="shared" si="46"/>
        <v>Reorder Required</v>
      </c>
    </row>
    <row r="723" spans="1:20" x14ac:dyDescent="0.3">
      <c r="A723" t="s">
        <v>2637</v>
      </c>
      <c r="B723" t="s">
        <v>88</v>
      </c>
      <c r="C723" t="s">
        <v>89</v>
      </c>
      <c r="D723" t="s">
        <v>2638</v>
      </c>
      <c r="E723" t="s">
        <v>2639</v>
      </c>
      <c r="F723">
        <v>61</v>
      </c>
      <c r="G723">
        <v>20</v>
      </c>
      <c r="H723">
        <v>29</v>
      </c>
      <c r="I723" s="1">
        <v>3</v>
      </c>
      <c r="J723" s="2">
        <v>45401</v>
      </c>
      <c r="K723" s="2">
        <v>45364</v>
      </c>
      <c r="L723" s="2">
        <v>45547</v>
      </c>
      <c r="M723" t="s">
        <v>2640</v>
      </c>
      <c r="N723">
        <v>71</v>
      </c>
      <c r="O723">
        <v>97</v>
      </c>
      <c r="P723" t="s">
        <v>38</v>
      </c>
      <c r="Q723" t="str">
        <f t="shared" si="47"/>
        <v>Last Order before Received</v>
      </c>
      <c r="R723" s="3">
        <f t="shared" si="45"/>
        <v>183</v>
      </c>
      <c r="S723">
        <f t="shared" si="44"/>
        <v>0</v>
      </c>
      <c r="T723" t="str">
        <f t="shared" si="46"/>
        <v>Sufficient Stock</v>
      </c>
    </row>
    <row r="724" spans="1:20" x14ac:dyDescent="0.3">
      <c r="A724" t="s">
        <v>2641</v>
      </c>
      <c r="B724" t="s">
        <v>274</v>
      </c>
      <c r="C724" t="s">
        <v>47</v>
      </c>
      <c r="D724" t="s">
        <v>2642</v>
      </c>
      <c r="E724" t="s">
        <v>1224</v>
      </c>
      <c r="F724">
        <v>75</v>
      </c>
      <c r="G724">
        <v>48</v>
      </c>
      <c r="H724">
        <v>25</v>
      </c>
      <c r="I724" s="1">
        <v>3</v>
      </c>
      <c r="J724" s="2">
        <v>45637</v>
      </c>
      <c r="K724" s="2">
        <v>45521</v>
      </c>
      <c r="L724" s="2">
        <v>45533</v>
      </c>
      <c r="M724" t="s">
        <v>2643</v>
      </c>
      <c r="N724">
        <v>96</v>
      </c>
      <c r="O724">
        <v>65</v>
      </c>
      <c r="P724" t="s">
        <v>38</v>
      </c>
      <c r="Q724" t="str">
        <f t="shared" si="47"/>
        <v>Expiry before Received</v>
      </c>
      <c r="R724" s="3">
        <f t="shared" si="45"/>
        <v>225</v>
      </c>
      <c r="S724">
        <f t="shared" si="44"/>
        <v>0</v>
      </c>
      <c r="T724" t="str">
        <f t="shared" si="46"/>
        <v>Sufficient Stock</v>
      </c>
    </row>
    <row r="725" spans="1:20" x14ac:dyDescent="0.3">
      <c r="A725" t="s">
        <v>2644</v>
      </c>
      <c r="B725" t="s">
        <v>243</v>
      </c>
      <c r="C725" t="s">
        <v>89</v>
      </c>
      <c r="D725" t="s">
        <v>2645</v>
      </c>
      <c r="E725" t="s">
        <v>2646</v>
      </c>
      <c r="F725">
        <v>87</v>
      </c>
      <c r="G725">
        <v>70</v>
      </c>
      <c r="H725">
        <v>77</v>
      </c>
      <c r="I725" s="1">
        <v>3.2</v>
      </c>
      <c r="J725" s="2">
        <v>45420</v>
      </c>
      <c r="K725" s="2">
        <v>45349</v>
      </c>
      <c r="L725" s="2">
        <v>45690</v>
      </c>
      <c r="M725" t="s">
        <v>2647</v>
      </c>
      <c r="N725">
        <v>73</v>
      </c>
      <c r="O725">
        <v>44</v>
      </c>
      <c r="P725" t="s">
        <v>44</v>
      </c>
      <c r="Q725" t="str">
        <f t="shared" si="47"/>
        <v>Last Order before Received</v>
      </c>
      <c r="R725" s="3">
        <f t="shared" si="45"/>
        <v>278.40000000000003</v>
      </c>
      <c r="S725">
        <f t="shared" si="44"/>
        <v>0</v>
      </c>
      <c r="T725" t="str">
        <f t="shared" si="46"/>
        <v>Sufficient Stock</v>
      </c>
    </row>
    <row r="726" spans="1:20" x14ac:dyDescent="0.3">
      <c r="A726" t="s">
        <v>2648</v>
      </c>
      <c r="B726" t="s">
        <v>108</v>
      </c>
      <c r="C726" t="s">
        <v>22</v>
      </c>
      <c r="D726" t="s">
        <v>2649</v>
      </c>
      <c r="E726" t="s">
        <v>2650</v>
      </c>
      <c r="F726">
        <v>71</v>
      </c>
      <c r="G726">
        <v>77</v>
      </c>
      <c r="H726">
        <v>30</v>
      </c>
      <c r="I726" s="1">
        <v>1.5</v>
      </c>
      <c r="J726" s="2">
        <v>45490</v>
      </c>
      <c r="K726" s="2">
        <v>45605</v>
      </c>
      <c r="L726" s="2">
        <v>45677</v>
      </c>
      <c r="M726" t="s">
        <v>2651</v>
      </c>
      <c r="N726">
        <v>34</v>
      </c>
      <c r="O726">
        <v>57</v>
      </c>
      <c r="P726" t="s">
        <v>38</v>
      </c>
      <c r="Q726" t="str">
        <f t="shared" si="47"/>
        <v>OK</v>
      </c>
      <c r="R726" s="3">
        <f t="shared" si="45"/>
        <v>106.5</v>
      </c>
      <c r="S726">
        <f t="shared" si="44"/>
        <v>6</v>
      </c>
      <c r="T726" t="str">
        <f t="shared" si="46"/>
        <v>Reorder Required</v>
      </c>
    </row>
    <row r="727" spans="1:20" x14ac:dyDescent="0.3">
      <c r="A727" t="s">
        <v>2652</v>
      </c>
      <c r="B727" t="s">
        <v>196</v>
      </c>
      <c r="C727" t="s">
        <v>132</v>
      </c>
      <c r="D727" t="s">
        <v>2653</v>
      </c>
      <c r="E727" t="s">
        <v>2654</v>
      </c>
      <c r="F727">
        <v>98</v>
      </c>
      <c r="G727">
        <v>100</v>
      </c>
      <c r="H727">
        <v>34</v>
      </c>
      <c r="I727" s="1">
        <v>9</v>
      </c>
      <c r="J727" s="2">
        <v>45578</v>
      </c>
      <c r="K727" s="2">
        <v>45350</v>
      </c>
      <c r="L727" s="2">
        <v>45531</v>
      </c>
      <c r="M727" t="s">
        <v>2655</v>
      </c>
      <c r="N727">
        <v>53</v>
      </c>
      <c r="O727">
        <v>20</v>
      </c>
      <c r="P727" t="s">
        <v>44</v>
      </c>
      <c r="Q727" t="str">
        <f t="shared" si="47"/>
        <v>Expiry before Received</v>
      </c>
      <c r="R727" s="3">
        <f t="shared" si="45"/>
        <v>882</v>
      </c>
      <c r="S727">
        <f t="shared" si="44"/>
        <v>2</v>
      </c>
      <c r="T727" t="str">
        <f t="shared" si="46"/>
        <v>Reorder Required</v>
      </c>
    </row>
    <row r="728" spans="1:20" x14ac:dyDescent="0.3">
      <c r="A728" t="s">
        <v>2656</v>
      </c>
      <c r="B728" t="s">
        <v>137</v>
      </c>
      <c r="C728" t="s">
        <v>47</v>
      </c>
      <c r="D728" t="s">
        <v>2657</v>
      </c>
      <c r="E728" t="s">
        <v>985</v>
      </c>
      <c r="F728">
        <v>19</v>
      </c>
      <c r="G728">
        <v>92</v>
      </c>
      <c r="H728">
        <v>41</v>
      </c>
      <c r="I728" s="1">
        <v>2</v>
      </c>
      <c r="J728" s="2">
        <v>45662</v>
      </c>
      <c r="K728" s="2">
        <v>45668</v>
      </c>
      <c r="L728" s="2">
        <v>45578</v>
      </c>
      <c r="M728" t="s">
        <v>2658</v>
      </c>
      <c r="N728">
        <v>51</v>
      </c>
      <c r="O728">
        <v>79</v>
      </c>
      <c r="P728" t="s">
        <v>44</v>
      </c>
      <c r="Q728" t="str">
        <f t="shared" si="47"/>
        <v>Expiry before Received</v>
      </c>
      <c r="R728" s="3">
        <f t="shared" si="45"/>
        <v>38</v>
      </c>
      <c r="S728">
        <f t="shared" si="44"/>
        <v>73</v>
      </c>
      <c r="T728" t="str">
        <f t="shared" si="46"/>
        <v>Reorder Required</v>
      </c>
    </row>
    <row r="729" spans="1:20" x14ac:dyDescent="0.3">
      <c r="A729" t="s">
        <v>2659</v>
      </c>
      <c r="B729" t="s">
        <v>528</v>
      </c>
      <c r="C729" t="s">
        <v>47</v>
      </c>
      <c r="D729" t="s">
        <v>2660</v>
      </c>
      <c r="E729" t="s">
        <v>2661</v>
      </c>
      <c r="F729">
        <v>85</v>
      </c>
      <c r="G729">
        <v>90</v>
      </c>
      <c r="H729">
        <v>16</v>
      </c>
      <c r="I729" s="1">
        <v>5</v>
      </c>
      <c r="J729" s="2">
        <v>45437</v>
      </c>
      <c r="K729" s="2">
        <v>45446</v>
      </c>
      <c r="L729" s="2">
        <v>45503</v>
      </c>
      <c r="M729" t="s">
        <v>2662</v>
      </c>
      <c r="N729">
        <v>61</v>
      </c>
      <c r="O729">
        <v>80</v>
      </c>
      <c r="P729" t="s">
        <v>38</v>
      </c>
      <c r="Q729" t="str">
        <f t="shared" si="47"/>
        <v>OK</v>
      </c>
      <c r="R729" s="3">
        <f t="shared" si="45"/>
        <v>425</v>
      </c>
      <c r="S729">
        <f t="shared" si="44"/>
        <v>5</v>
      </c>
      <c r="T729" t="str">
        <f t="shared" si="46"/>
        <v>Reorder Required</v>
      </c>
    </row>
    <row r="730" spans="1:20" x14ac:dyDescent="0.3">
      <c r="A730" t="s">
        <v>2663</v>
      </c>
      <c r="B730" t="s">
        <v>1234</v>
      </c>
      <c r="C730" t="s">
        <v>47</v>
      </c>
      <c r="D730" t="s">
        <v>2664</v>
      </c>
      <c r="E730" t="s">
        <v>951</v>
      </c>
      <c r="F730">
        <v>71</v>
      </c>
      <c r="G730">
        <v>36</v>
      </c>
      <c r="H730">
        <v>45</v>
      </c>
      <c r="I730" s="1">
        <v>3.5</v>
      </c>
      <c r="J730" s="2">
        <v>45686</v>
      </c>
      <c r="K730" s="2">
        <v>45613</v>
      </c>
      <c r="L730" s="2">
        <v>45659</v>
      </c>
      <c r="M730" t="s">
        <v>2665</v>
      </c>
      <c r="N730">
        <v>87</v>
      </c>
      <c r="O730">
        <v>2</v>
      </c>
      <c r="P730" t="s">
        <v>38</v>
      </c>
      <c r="Q730" t="str">
        <f t="shared" si="47"/>
        <v>Expiry before Received</v>
      </c>
      <c r="R730" s="3">
        <f t="shared" si="45"/>
        <v>248.5</v>
      </c>
      <c r="S730">
        <f t="shared" si="44"/>
        <v>0</v>
      </c>
      <c r="T730" t="str">
        <f t="shared" si="46"/>
        <v>Sufficient Stock</v>
      </c>
    </row>
    <row r="731" spans="1:20" x14ac:dyDescent="0.3">
      <c r="A731" t="s">
        <v>2666</v>
      </c>
      <c r="B731" t="s">
        <v>1145</v>
      </c>
      <c r="C731" t="s">
        <v>22</v>
      </c>
      <c r="D731" t="s">
        <v>2667</v>
      </c>
      <c r="E731" t="s">
        <v>262</v>
      </c>
      <c r="F731">
        <v>44</v>
      </c>
      <c r="G731">
        <v>48</v>
      </c>
      <c r="H731">
        <v>77</v>
      </c>
      <c r="I731" s="1">
        <v>2.5</v>
      </c>
      <c r="J731" s="2">
        <v>45527</v>
      </c>
      <c r="K731" s="2">
        <v>45552</v>
      </c>
      <c r="L731" s="2">
        <v>45680</v>
      </c>
      <c r="M731" t="s">
        <v>2668</v>
      </c>
      <c r="N731">
        <v>67</v>
      </c>
      <c r="O731">
        <v>79</v>
      </c>
      <c r="P731" t="s">
        <v>26</v>
      </c>
      <c r="Q731" t="str">
        <f t="shared" si="47"/>
        <v>OK</v>
      </c>
      <c r="R731" s="3">
        <f t="shared" si="45"/>
        <v>110</v>
      </c>
      <c r="S731">
        <f t="shared" si="44"/>
        <v>4</v>
      </c>
      <c r="T731" t="str">
        <f t="shared" si="46"/>
        <v>Reorder Required</v>
      </c>
    </row>
    <row r="732" spans="1:20" x14ac:dyDescent="0.3">
      <c r="A732" t="s">
        <v>2669</v>
      </c>
      <c r="B732" t="s">
        <v>472</v>
      </c>
      <c r="C732" t="s">
        <v>22</v>
      </c>
      <c r="D732" t="s">
        <v>2670</v>
      </c>
      <c r="E732" t="s">
        <v>477</v>
      </c>
      <c r="F732">
        <v>25</v>
      </c>
      <c r="G732">
        <v>95</v>
      </c>
      <c r="H732">
        <v>71</v>
      </c>
      <c r="I732" s="1">
        <v>2</v>
      </c>
      <c r="J732" s="2">
        <v>45468</v>
      </c>
      <c r="K732" s="2">
        <v>45482</v>
      </c>
      <c r="L732" s="2">
        <v>45671</v>
      </c>
      <c r="M732" t="s">
        <v>2671</v>
      </c>
      <c r="N732">
        <v>24</v>
      </c>
      <c r="O732">
        <v>76</v>
      </c>
      <c r="P732" t="s">
        <v>38</v>
      </c>
      <c r="Q732" t="str">
        <f t="shared" si="47"/>
        <v>OK</v>
      </c>
      <c r="R732" s="3">
        <f t="shared" si="45"/>
        <v>50</v>
      </c>
      <c r="S732">
        <f t="shared" si="44"/>
        <v>70</v>
      </c>
      <c r="T732" t="str">
        <f t="shared" si="46"/>
        <v>Reorder Required</v>
      </c>
    </row>
    <row r="733" spans="1:20" x14ac:dyDescent="0.3">
      <c r="A733" t="s">
        <v>2672</v>
      </c>
      <c r="B733" t="s">
        <v>435</v>
      </c>
      <c r="C733" t="s">
        <v>58</v>
      </c>
      <c r="D733" t="s">
        <v>2673</v>
      </c>
      <c r="E733" t="s">
        <v>1605</v>
      </c>
      <c r="F733">
        <v>24</v>
      </c>
      <c r="G733">
        <v>14</v>
      </c>
      <c r="H733">
        <v>5</v>
      </c>
      <c r="I733" s="1">
        <v>4</v>
      </c>
      <c r="J733" s="2">
        <v>45463</v>
      </c>
      <c r="K733" s="2">
        <v>45381</v>
      </c>
      <c r="L733" s="2">
        <v>45460</v>
      </c>
      <c r="M733" t="s">
        <v>2674</v>
      </c>
      <c r="N733">
        <v>98</v>
      </c>
      <c r="O733">
        <v>9</v>
      </c>
      <c r="P733" t="s">
        <v>44</v>
      </c>
      <c r="Q733" t="str">
        <f t="shared" si="47"/>
        <v>Expiry before Received</v>
      </c>
      <c r="R733" s="3">
        <f t="shared" si="45"/>
        <v>96</v>
      </c>
      <c r="S733">
        <f t="shared" si="44"/>
        <v>0</v>
      </c>
      <c r="T733" t="str">
        <f t="shared" si="46"/>
        <v>Sufficient Stock</v>
      </c>
    </row>
    <row r="734" spans="1:20" x14ac:dyDescent="0.3">
      <c r="A734" t="s">
        <v>2675</v>
      </c>
      <c r="B734" t="s">
        <v>800</v>
      </c>
      <c r="C734" t="s">
        <v>132</v>
      </c>
      <c r="D734" t="s">
        <v>2676</v>
      </c>
      <c r="E734" t="s">
        <v>262</v>
      </c>
      <c r="F734">
        <v>44</v>
      </c>
      <c r="G734">
        <v>97</v>
      </c>
      <c r="H734">
        <v>76</v>
      </c>
      <c r="I734" s="1">
        <v>10</v>
      </c>
      <c r="J734" s="2">
        <v>45439</v>
      </c>
      <c r="K734" s="2">
        <v>45392</v>
      </c>
      <c r="L734" s="2">
        <v>45641</v>
      </c>
      <c r="M734" t="s">
        <v>2677</v>
      </c>
      <c r="N734">
        <v>80</v>
      </c>
      <c r="O734">
        <v>33</v>
      </c>
      <c r="P734" t="s">
        <v>26</v>
      </c>
      <c r="Q734" t="str">
        <f t="shared" si="47"/>
        <v>Last Order before Received</v>
      </c>
      <c r="R734" s="3">
        <f t="shared" si="45"/>
        <v>440</v>
      </c>
      <c r="S734">
        <f t="shared" si="44"/>
        <v>53</v>
      </c>
      <c r="T734" t="str">
        <f t="shared" si="46"/>
        <v>Reorder Required</v>
      </c>
    </row>
    <row r="735" spans="1:20" x14ac:dyDescent="0.3">
      <c r="A735" t="s">
        <v>2678</v>
      </c>
      <c r="B735" t="s">
        <v>687</v>
      </c>
      <c r="C735" t="s">
        <v>22</v>
      </c>
      <c r="D735" t="s">
        <v>2679</v>
      </c>
      <c r="E735" t="s">
        <v>1283</v>
      </c>
      <c r="F735">
        <v>63</v>
      </c>
      <c r="G735">
        <v>4</v>
      </c>
      <c r="H735">
        <v>46</v>
      </c>
      <c r="I735" s="1">
        <v>2.5</v>
      </c>
      <c r="J735" s="2">
        <v>45521</v>
      </c>
      <c r="K735" s="2">
        <v>45372</v>
      </c>
      <c r="L735" s="2">
        <v>45360</v>
      </c>
      <c r="M735" t="s">
        <v>2680</v>
      </c>
      <c r="N735">
        <v>40</v>
      </c>
      <c r="O735">
        <v>69</v>
      </c>
      <c r="P735" t="s">
        <v>26</v>
      </c>
      <c r="Q735" t="str">
        <f t="shared" si="47"/>
        <v>Expiry before Received</v>
      </c>
      <c r="R735" s="3">
        <f t="shared" si="45"/>
        <v>157.5</v>
      </c>
      <c r="S735">
        <f t="shared" si="44"/>
        <v>0</v>
      </c>
      <c r="T735" t="str">
        <f t="shared" si="46"/>
        <v>Sufficient Stock</v>
      </c>
    </row>
    <row r="736" spans="1:20" x14ac:dyDescent="0.3">
      <c r="A736" t="s">
        <v>2681</v>
      </c>
      <c r="B736" t="s">
        <v>455</v>
      </c>
      <c r="C736" t="s">
        <v>58</v>
      </c>
      <c r="D736" t="s">
        <v>2682</v>
      </c>
      <c r="E736" t="s">
        <v>547</v>
      </c>
      <c r="F736">
        <v>69</v>
      </c>
      <c r="G736">
        <v>59</v>
      </c>
      <c r="H736">
        <v>29</v>
      </c>
      <c r="I736" s="1">
        <v>1.8</v>
      </c>
      <c r="J736" s="2">
        <v>45595</v>
      </c>
      <c r="K736" s="2">
        <v>45435</v>
      </c>
      <c r="L736" s="2">
        <v>45434</v>
      </c>
      <c r="M736" t="s">
        <v>2683</v>
      </c>
      <c r="N736">
        <v>63</v>
      </c>
      <c r="O736">
        <v>91</v>
      </c>
      <c r="P736" t="s">
        <v>44</v>
      </c>
      <c r="Q736" t="str">
        <f t="shared" si="47"/>
        <v>Expiry before Received</v>
      </c>
      <c r="R736" s="3">
        <f t="shared" si="45"/>
        <v>124.2</v>
      </c>
      <c r="S736">
        <f t="shared" si="44"/>
        <v>0</v>
      </c>
      <c r="T736" t="str">
        <f t="shared" si="46"/>
        <v>Sufficient Stock</v>
      </c>
    </row>
    <row r="737" spans="1:20" x14ac:dyDescent="0.3">
      <c r="A737" t="s">
        <v>2684</v>
      </c>
      <c r="B737" t="s">
        <v>624</v>
      </c>
      <c r="C737" t="s">
        <v>132</v>
      </c>
      <c r="D737" t="s">
        <v>2685</v>
      </c>
      <c r="E737" t="s">
        <v>1985</v>
      </c>
      <c r="F737">
        <v>88</v>
      </c>
      <c r="G737">
        <v>71</v>
      </c>
      <c r="H737">
        <v>9</v>
      </c>
      <c r="I737" s="1">
        <v>18</v>
      </c>
      <c r="J737" s="2">
        <v>45365</v>
      </c>
      <c r="K737" s="2">
        <v>45654</v>
      </c>
      <c r="L737" s="2">
        <v>45367</v>
      </c>
      <c r="M737" t="s">
        <v>2686</v>
      </c>
      <c r="N737">
        <v>28</v>
      </c>
      <c r="O737">
        <v>14</v>
      </c>
      <c r="P737" t="s">
        <v>38</v>
      </c>
      <c r="Q737" t="str">
        <f t="shared" si="47"/>
        <v>OK</v>
      </c>
      <c r="R737" s="3">
        <f t="shared" si="45"/>
        <v>1584</v>
      </c>
      <c r="S737">
        <f t="shared" si="44"/>
        <v>0</v>
      </c>
      <c r="T737" t="str">
        <f t="shared" si="46"/>
        <v>Sufficient Stock</v>
      </c>
    </row>
    <row r="738" spans="1:20" x14ac:dyDescent="0.3">
      <c r="A738" t="s">
        <v>2687</v>
      </c>
      <c r="B738" t="s">
        <v>775</v>
      </c>
      <c r="C738" t="s">
        <v>29</v>
      </c>
      <c r="D738" t="s">
        <v>2688</v>
      </c>
      <c r="E738" t="s">
        <v>2689</v>
      </c>
      <c r="F738">
        <v>74</v>
      </c>
      <c r="G738">
        <v>2</v>
      </c>
      <c r="H738">
        <v>45</v>
      </c>
      <c r="I738" s="1">
        <v>10</v>
      </c>
      <c r="J738" s="2">
        <v>45351</v>
      </c>
      <c r="K738" s="2">
        <v>45691</v>
      </c>
      <c r="L738" s="2">
        <v>45388</v>
      </c>
      <c r="M738" t="s">
        <v>2690</v>
      </c>
      <c r="N738">
        <v>37</v>
      </c>
      <c r="O738">
        <v>99</v>
      </c>
      <c r="P738" t="s">
        <v>44</v>
      </c>
      <c r="Q738" t="str">
        <f t="shared" si="47"/>
        <v>OK</v>
      </c>
      <c r="R738" s="3">
        <f t="shared" si="45"/>
        <v>740</v>
      </c>
      <c r="S738">
        <f t="shared" si="44"/>
        <v>0</v>
      </c>
      <c r="T738" t="str">
        <f t="shared" si="46"/>
        <v>Sufficient Stock</v>
      </c>
    </row>
    <row r="739" spans="1:20" x14ac:dyDescent="0.3">
      <c r="A739" t="s">
        <v>2691</v>
      </c>
      <c r="B739" t="s">
        <v>368</v>
      </c>
      <c r="C739" t="s">
        <v>47</v>
      </c>
      <c r="D739" t="s">
        <v>2692</v>
      </c>
      <c r="E739" t="s">
        <v>2693</v>
      </c>
      <c r="F739">
        <v>98</v>
      </c>
      <c r="G739">
        <v>43</v>
      </c>
      <c r="H739">
        <v>9</v>
      </c>
      <c r="I739" s="1">
        <v>4.5</v>
      </c>
      <c r="J739" s="2">
        <v>45468</v>
      </c>
      <c r="K739" s="2">
        <v>45357</v>
      </c>
      <c r="L739" s="2">
        <v>45655</v>
      </c>
      <c r="M739" t="s">
        <v>2694</v>
      </c>
      <c r="N739">
        <v>86</v>
      </c>
      <c r="O739">
        <v>62</v>
      </c>
      <c r="P739" t="s">
        <v>38</v>
      </c>
      <c r="Q739" t="str">
        <f t="shared" si="47"/>
        <v>Last Order before Received</v>
      </c>
      <c r="R739" s="3">
        <f t="shared" si="45"/>
        <v>441</v>
      </c>
      <c r="S739">
        <f t="shared" si="44"/>
        <v>0</v>
      </c>
      <c r="T739" t="str">
        <f t="shared" si="46"/>
        <v>Sufficient Stock</v>
      </c>
    </row>
    <row r="740" spans="1:20" x14ac:dyDescent="0.3">
      <c r="A740" t="s">
        <v>2695</v>
      </c>
      <c r="B740" t="s">
        <v>2288</v>
      </c>
      <c r="C740" t="s">
        <v>64</v>
      </c>
      <c r="D740" t="s">
        <v>2696</v>
      </c>
      <c r="E740" t="s">
        <v>1086</v>
      </c>
      <c r="F740">
        <v>22</v>
      </c>
      <c r="G740">
        <v>19</v>
      </c>
      <c r="H740">
        <v>4</v>
      </c>
      <c r="I740" s="1">
        <v>0.2</v>
      </c>
      <c r="J740" s="2">
        <v>45400</v>
      </c>
      <c r="K740" s="2">
        <v>45368</v>
      </c>
      <c r="L740" s="2">
        <v>45552</v>
      </c>
      <c r="M740" t="s">
        <v>2697</v>
      </c>
      <c r="N740">
        <v>88</v>
      </c>
      <c r="O740">
        <v>24</v>
      </c>
      <c r="P740" t="s">
        <v>26</v>
      </c>
      <c r="Q740" t="str">
        <f t="shared" si="47"/>
        <v>Last Order before Received</v>
      </c>
      <c r="R740" s="3">
        <f t="shared" si="45"/>
        <v>4.4000000000000004</v>
      </c>
      <c r="S740">
        <f t="shared" si="44"/>
        <v>0</v>
      </c>
      <c r="T740" t="str">
        <f t="shared" si="46"/>
        <v>Sufficient Stock</v>
      </c>
    </row>
    <row r="741" spans="1:20" x14ac:dyDescent="0.3">
      <c r="A741" t="s">
        <v>2698</v>
      </c>
      <c r="B741" t="s">
        <v>1184</v>
      </c>
      <c r="C741" t="s">
        <v>47</v>
      </c>
      <c r="D741" t="s">
        <v>2699</v>
      </c>
      <c r="E741" t="s">
        <v>80</v>
      </c>
      <c r="F741">
        <v>55</v>
      </c>
      <c r="G741">
        <v>96</v>
      </c>
      <c r="H741">
        <v>40</v>
      </c>
      <c r="I741" s="1">
        <v>5</v>
      </c>
      <c r="J741" s="2">
        <v>45428</v>
      </c>
      <c r="K741" s="2">
        <v>45423</v>
      </c>
      <c r="L741" s="2">
        <v>45449</v>
      </c>
      <c r="M741" t="s">
        <v>2700</v>
      </c>
      <c r="N741">
        <v>23</v>
      </c>
      <c r="O741">
        <v>47</v>
      </c>
      <c r="P741" t="s">
        <v>26</v>
      </c>
      <c r="Q741" t="str">
        <f t="shared" si="47"/>
        <v>Last Order before Received</v>
      </c>
      <c r="R741" s="3">
        <f t="shared" si="45"/>
        <v>275</v>
      </c>
      <c r="S741">
        <f t="shared" si="44"/>
        <v>41</v>
      </c>
      <c r="T741" t="str">
        <f t="shared" si="46"/>
        <v>Reorder Required</v>
      </c>
    </row>
    <row r="742" spans="1:20" x14ac:dyDescent="0.3">
      <c r="A742" t="s">
        <v>2701</v>
      </c>
      <c r="B742" t="s">
        <v>328</v>
      </c>
      <c r="C742" t="s">
        <v>64</v>
      </c>
      <c r="D742" t="s">
        <v>2702</v>
      </c>
      <c r="E742" t="s">
        <v>2639</v>
      </c>
      <c r="F742">
        <v>96</v>
      </c>
      <c r="G742">
        <v>80</v>
      </c>
      <c r="H742">
        <v>20</v>
      </c>
      <c r="I742" s="1">
        <v>6.1</v>
      </c>
      <c r="J742" s="2">
        <v>45645</v>
      </c>
      <c r="K742" s="2">
        <v>45503</v>
      </c>
      <c r="L742" s="2">
        <v>45685</v>
      </c>
      <c r="M742" t="s">
        <v>2703</v>
      </c>
      <c r="N742">
        <v>94</v>
      </c>
      <c r="O742">
        <v>49</v>
      </c>
      <c r="P742" t="s">
        <v>26</v>
      </c>
      <c r="Q742" t="str">
        <f t="shared" si="47"/>
        <v>Last Order before Received</v>
      </c>
      <c r="R742" s="3">
        <f t="shared" si="45"/>
        <v>585.59999999999991</v>
      </c>
      <c r="S742">
        <f t="shared" si="44"/>
        <v>0</v>
      </c>
      <c r="T742" t="str">
        <f t="shared" si="46"/>
        <v>Sufficient Stock</v>
      </c>
    </row>
    <row r="743" spans="1:20" x14ac:dyDescent="0.3">
      <c r="A743" t="s">
        <v>2704</v>
      </c>
      <c r="B743" t="s">
        <v>103</v>
      </c>
      <c r="C743" t="s">
        <v>64</v>
      </c>
      <c r="D743" t="s">
        <v>2705</v>
      </c>
      <c r="E743" t="s">
        <v>2564</v>
      </c>
      <c r="F743">
        <v>91</v>
      </c>
      <c r="G743">
        <v>7</v>
      </c>
      <c r="H743">
        <v>64</v>
      </c>
      <c r="I743" s="1">
        <v>7</v>
      </c>
      <c r="J743" s="2">
        <v>45605</v>
      </c>
      <c r="K743" s="2">
        <v>45516</v>
      </c>
      <c r="L743" s="2">
        <v>45712</v>
      </c>
      <c r="M743" t="s">
        <v>2706</v>
      </c>
      <c r="N743">
        <v>32</v>
      </c>
      <c r="O743">
        <v>65</v>
      </c>
      <c r="P743" t="s">
        <v>26</v>
      </c>
      <c r="Q743" t="str">
        <f t="shared" si="47"/>
        <v>Last Order before Received</v>
      </c>
      <c r="R743" s="3">
        <f t="shared" si="45"/>
        <v>637</v>
      </c>
      <c r="S743">
        <f t="shared" si="44"/>
        <v>0</v>
      </c>
      <c r="T743" t="str">
        <f t="shared" si="46"/>
        <v>Sufficient Stock</v>
      </c>
    </row>
    <row r="744" spans="1:20" x14ac:dyDescent="0.3">
      <c r="A744" t="s">
        <v>2707</v>
      </c>
      <c r="B744" t="s">
        <v>983</v>
      </c>
      <c r="C744" t="s">
        <v>89</v>
      </c>
      <c r="D744" t="s">
        <v>2708</v>
      </c>
      <c r="E744" t="s">
        <v>1174</v>
      </c>
      <c r="F744">
        <v>40</v>
      </c>
      <c r="G744">
        <v>91</v>
      </c>
      <c r="H744">
        <v>24</v>
      </c>
      <c r="I744" s="1">
        <v>4</v>
      </c>
      <c r="J744" s="2">
        <v>45502</v>
      </c>
      <c r="K744" s="2">
        <v>45638</v>
      </c>
      <c r="L744" s="2">
        <v>45626</v>
      </c>
      <c r="M744" t="s">
        <v>2709</v>
      </c>
      <c r="N744">
        <v>28</v>
      </c>
      <c r="O744">
        <v>47</v>
      </c>
      <c r="P744" t="s">
        <v>26</v>
      </c>
      <c r="Q744" t="str">
        <f t="shared" si="47"/>
        <v>OK</v>
      </c>
      <c r="R744" s="3">
        <f t="shared" si="45"/>
        <v>160</v>
      </c>
      <c r="S744">
        <f t="shared" si="44"/>
        <v>51</v>
      </c>
      <c r="T744" t="str">
        <f t="shared" si="46"/>
        <v>Reorder Required</v>
      </c>
    </row>
    <row r="745" spans="1:20" x14ac:dyDescent="0.3">
      <c r="A745" t="s">
        <v>2710</v>
      </c>
      <c r="B745" t="s">
        <v>1479</v>
      </c>
      <c r="C745" t="s">
        <v>132</v>
      </c>
      <c r="D745" t="s">
        <v>2711</v>
      </c>
      <c r="E745" t="s">
        <v>669</v>
      </c>
      <c r="F745">
        <v>52</v>
      </c>
      <c r="G745">
        <v>46</v>
      </c>
      <c r="H745">
        <v>12</v>
      </c>
      <c r="I745" s="1">
        <v>15</v>
      </c>
      <c r="J745" s="2">
        <v>45644</v>
      </c>
      <c r="K745" s="2">
        <v>45447</v>
      </c>
      <c r="L745" s="2">
        <v>45398</v>
      </c>
      <c r="M745" t="s">
        <v>2712</v>
      </c>
      <c r="N745">
        <v>43</v>
      </c>
      <c r="O745">
        <v>34</v>
      </c>
      <c r="P745" t="s">
        <v>38</v>
      </c>
      <c r="Q745" t="str">
        <f t="shared" si="47"/>
        <v>Expiry before Received</v>
      </c>
      <c r="R745" s="3">
        <f t="shared" si="45"/>
        <v>780</v>
      </c>
      <c r="S745">
        <f t="shared" si="44"/>
        <v>0</v>
      </c>
      <c r="T745" t="str">
        <f t="shared" si="46"/>
        <v>Sufficient Stock</v>
      </c>
    </row>
    <row r="746" spans="1:20" x14ac:dyDescent="0.3">
      <c r="A746" t="s">
        <v>2713</v>
      </c>
      <c r="B746" t="s">
        <v>512</v>
      </c>
      <c r="C746" t="s">
        <v>47</v>
      </c>
      <c r="D746" t="s">
        <v>2714</v>
      </c>
      <c r="E746" t="s">
        <v>1374</v>
      </c>
      <c r="F746">
        <v>22</v>
      </c>
      <c r="G746">
        <v>22</v>
      </c>
      <c r="H746">
        <v>65</v>
      </c>
      <c r="I746" s="1">
        <v>2</v>
      </c>
      <c r="J746" s="2">
        <v>45672</v>
      </c>
      <c r="K746" s="2">
        <v>45412</v>
      </c>
      <c r="L746" s="2">
        <v>45455</v>
      </c>
      <c r="M746" t="s">
        <v>2715</v>
      </c>
      <c r="N746">
        <v>62</v>
      </c>
      <c r="O746">
        <v>78</v>
      </c>
      <c r="P746" t="s">
        <v>38</v>
      </c>
      <c r="Q746" t="str">
        <f t="shared" si="47"/>
        <v>Expiry before Received</v>
      </c>
      <c r="R746" s="3">
        <f t="shared" si="45"/>
        <v>44</v>
      </c>
      <c r="S746">
        <f t="shared" si="44"/>
        <v>0</v>
      </c>
      <c r="T746" t="str">
        <f t="shared" si="46"/>
        <v>Sufficient Stock</v>
      </c>
    </row>
    <row r="747" spans="1:20" x14ac:dyDescent="0.3">
      <c r="A747" t="s">
        <v>2716</v>
      </c>
      <c r="B747" t="s">
        <v>34</v>
      </c>
      <c r="C747" t="s">
        <v>22</v>
      </c>
      <c r="D747" t="s">
        <v>2717</v>
      </c>
      <c r="E747" t="s">
        <v>1194</v>
      </c>
      <c r="F747">
        <v>98</v>
      </c>
      <c r="G747">
        <v>41</v>
      </c>
      <c r="H747">
        <v>98</v>
      </c>
      <c r="I747" s="1">
        <v>6.35</v>
      </c>
      <c r="J747" s="2">
        <v>45662</v>
      </c>
      <c r="K747" s="2">
        <v>45535</v>
      </c>
      <c r="L747" s="2">
        <v>45675</v>
      </c>
      <c r="M747" t="s">
        <v>2718</v>
      </c>
      <c r="N747">
        <v>70</v>
      </c>
      <c r="O747">
        <v>75</v>
      </c>
      <c r="P747" t="s">
        <v>38</v>
      </c>
      <c r="Q747" t="str">
        <f t="shared" si="47"/>
        <v>Last Order before Received</v>
      </c>
      <c r="R747" s="3">
        <f t="shared" si="45"/>
        <v>622.29999999999995</v>
      </c>
      <c r="S747">
        <f t="shared" si="44"/>
        <v>0</v>
      </c>
      <c r="T747" t="str">
        <f t="shared" si="46"/>
        <v>Sufficient Stock</v>
      </c>
    </row>
    <row r="748" spans="1:20" x14ac:dyDescent="0.3">
      <c r="A748" t="s">
        <v>2719</v>
      </c>
      <c r="B748" t="s">
        <v>771</v>
      </c>
      <c r="C748" t="s">
        <v>22</v>
      </c>
      <c r="D748" t="s">
        <v>2720</v>
      </c>
      <c r="E748" t="s">
        <v>49</v>
      </c>
      <c r="F748">
        <v>59</v>
      </c>
      <c r="G748">
        <v>73</v>
      </c>
      <c r="H748">
        <v>86</v>
      </c>
      <c r="I748" s="1">
        <v>2.75</v>
      </c>
      <c r="J748" s="2">
        <v>45701</v>
      </c>
      <c r="K748" s="2">
        <v>45658</v>
      </c>
      <c r="L748" s="2">
        <v>45546</v>
      </c>
      <c r="M748" t="s">
        <v>2721</v>
      </c>
      <c r="N748">
        <v>32</v>
      </c>
      <c r="O748">
        <v>56</v>
      </c>
      <c r="P748" t="s">
        <v>38</v>
      </c>
      <c r="Q748" t="str">
        <f t="shared" si="47"/>
        <v>Expiry before Received</v>
      </c>
      <c r="R748" s="3">
        <f t="shared" si="45"/>
        <v>162.25</v>
      </c>
      <c r="S748">
        <f t="shared" si="44"/>
        <v>14</v>
      </c>
      <c r="T748" t="str">
        <f t="shared" si="46"/>
        <v>Reorder Required</v>
      </c>
    </row>
    <row r="749" spans="1:20" x14ac:dyDescent="0.3">
      <c r="A749" t="s">
        <v>2722</v>
      </c>
      <c r="B749" t="s">
        <v>445</v>
      </c>
      <c r="C749" t="s">
        <v>89</v>
      </c>
      <c r="D749" t="s">
        <v>2723</v>
      </c>
      <c r="E749" t="s">
        <v>1773</v>
      </c>
      <c r="F749">
        <v>99</v>
      </c>
      <c r="G749">
        <v>3</v>
      </c>
      <c r="H749">
        <v>79</v>
      </c>
      <c r="I749" s="1">
        <v>5</v>
      </c>
      <c r="J749" s="2">
        <v>45448</v>
      </c>
      <c r="K749" s="2">
        <v>45673</v>
      </c>
      <c r="L749" s="2">
        <v>45617</v>
      </c>
      <c r="M749" t="s">
        <v>2724</v>
      </c>
      <c r="N749">
        <v>65</v>
      </c>
      <c r="O749">
        <v>16</v>
      </c>
      <c r="P749" t="s">
        <v>38</v>
      </c>
      <c r="Q749" t="str">
        <f t="shared" si="47"/>
        <v>OK</v>
      </c>
      <c r="R749" s="3">
        <f t="shared" si="45"/>
        <v>495</v>
      </c>
      <c r="S749">
        <f t="shared" si="44"/>
        <v>0</v>
      </c>
      <c r="T749" t="str">
        <f t="shared" si="46"/>
        <v>Sufficient Stock</v>
      </c>
    </row>
    <row r="750" spans="1:20" x14ac:dyDescent="0.3">
      <c r="A750" t="s">
        <v>2725</v>
      </c>
      <c r="B750" t="s">
        <v>316</v>
      </c>
      <c r="C750" t="s">
        <v>29</v>
      </c>
      <c r="D750" t="s">
        <v>2726</v>
      </c>
      <c r="E750" t="s">
        <v>442</v>
      </c>
      <c r="F750">
        <v>18</v>
      </c>
      <c r="G750">
        <v>36</v>
      </c>
      <c r="H750">
        <v>53</v>
      </c>
      <c r="I750" s="1">
        <v>5.3</v>
      </c>
      <c r="J750" s="2">
        <v>45424</v>
      </c>
      <c r="K750" s="2">
        <v>45413</v>
      </c>
      <c r="L750" s="2">
        <v>45467</v>
      </c>
      <c r="M750" t="s">
        <v>2727</v>
      </c>
      <c r="N750">
        <v>65</v>
      </c>
      <c r="O750">
        <v>100</v>
      </c>
      <c r="P750" t="s">
        <v>44</v>
      </c>
      <c r="Q750" t="str">
        <f t="shared" si="47"/>
        <v>Last Order before Received</v>
      </c>
      <c r="R750" s="3">
        <f t="shared" si="45"/>
        <v>95.399999999999991</v>
      </c>
      <c r="S750">
        <f t="shared" si="44"/>
        <v>18</v>
      </c>
      <c r="T750" t="str">
        <f t="shared" si="46"/>
        <v>Reorder Required</v>
      </c>
    </row>
    <row r="751" spans="1:20" x14ac:dyDescent="0.3">
      <c r="A751" t="s">
        <v>2728</v>
      </c>
      <c r="B751" t="s">
        <v>780</v>
      </c>
      <c r="C751" t="s">
        <v>47</v>
      </c>
      <c r="D751" t="s">
        <v>2729</v>
      </c>
      <c r="E751" t="s">
        <v>802</v>
      </c>
      <c r="F751">
        <v>58</v>
      </c>
      <c r="G751">
        <v>12</v>
      </c>
      <c r="H751">
        <v>99</v>
      </c>
      <c r="I751" s="1">
        <v>3</v>
      </c>
      <c r="J751" s="2">
        <v>45679</v>
      </c>
      <c r="K751" s="2">
        <v>45669</v>
      </c>
      <c r="L751" s="2">
        <v>45438</v>
      </c>
      <c r="M751" t="s">
        <v>2730</v>
      </c>
      <c r="N751">
        <v>71</v>
      </c>
      <c r="O751">
        <v>30</v>
      </c>
      <c r="P751" t="s">
        <v>44</v>
      </c>
      <c r="Q751" t="str">
        <f t="shared" si="47"/>
        <v>Expiry before Received</v>
      </c>
      <c r="R751" s="3">
        <f t="shared" si="45"/>
        <v>174</v>
      </c>
      <c r="S751">
        <f t="shared" si="44"/>
        <v>0</v>
      </c>
      <c r="T751" t="str">
        <f t="shared" si="46"/>
        <v>Sufficient Stock</v>
      </c>
    </row>
    <row r="752" spans="1:20" x14ac:dyDescent="0.3">
      <c r="A752" t="s">
        <v>2731</v>
      </c>
      <c r="B752" t="s">
        <v>34</v>
      </c>
      <c r="C752" t="s">
        <v>22</v>
      </c>
      <c r="D752" t="s">
        <v>2732</v>
      </c>
      <c r="E752" t="s">
        <v>985</v>
      </c>
      <c r="F752">
        <v>30</v>
      </c>
      <c r="G752">
        <v>34</v>
      </c>
      <c r="H752">
        <v>96</v>
      </c>
      <c r="I752" s="1">
        <v>6.3</v>
      </c>
      <c r="J752" s="2">
        <v>45600</v>
      </c>
      <c r="K752" s="2">
        <v>45645</v>
      </c>
      <c r="L752" s="2">
        <v>45404</v>
      </c>
      <c r="M752" t="s">
        <v>2733</v>
      </c>
      <c r="N752">
        <v>61</v>
      </c>
      <c r="O752">
        <v>13</v>
      </c>
      <c r="P752" t="s">
        <v>38</v>
      </c>
      <c r="Q752" t="str">
        <f t="shared" si="47"/>
        <v>Expiry before Received</v>
      </c>
      <c r="R752" s="3">
        <f t="shared" si="45"/>
        <v>189</v>
      </c>
      <c r="S752">
        <f t="shared" si="44"/>
        <v>4</v>
      </c>
      <c r="T752" t="str">
        <f t="shared" si="46"/>
        <v>Reorder Required</v>
      </c>
    </row>
    <row r="753" spans="1:20" x14ac:dyDescent="0.3">
      <c r="A753" t="s">
        <v>2734</v>
      </c>
      <c r="B753" t="s">
        <v>1205</v>
      </c>
      <c r="C753" t="s">
        <v>47</v>
      </c>
      <c r="D753" t="s">
        <v>2735</v>
      </c>
      <c r="E753" t="s">
        <v>299</v>
      </c>
      <c r="F753">
        <v>97</v>
      </c>
      <c r="G753">
        <v>97</v>
      </c>
      <c r="H753">
        <v>71</v>
      </c>
      <c r="I753" s="1">
        <v>4.5</v>
      </c>
      <c r="J753" s="2">
        <v>45485</v>
      </c>
      <c r="K753" s="2">
        <v>45564</v>
      </c>
      <c r="L753" s="2">
        <v>45526</v>
      </c>
      <c r="M753" t="s">
        <v>2736</v>
      </c>
      <c r="N753">
        <v>53</v>
      </c>
      <c r="O753">
        <v>31</v>
      </c>
      <c r="P753" t="s">
        <v>44</v>
      </c>
      <c r="Q753" t="str">
        <f t="shared" si="47"/>
        <v>OK</v>
      </c>
      <c r="R753" s="3">
        <f t="shared" si="45"/>
        <v>436.5</v>
      </c>
      <c r="S753">
        <f t="shared" si="44"/>
        <v>0</v>
      </c>
      <c r="T753" t="str">
        <f t="shared" si="46"/>
        <v>Sufficient Stock</v>
      </c>
    </row>
    <row r="754" spans="1:20" x14ac:dyDescent="0.3">
      <c r="A754" t="s">
        <v>2737</v>
      </c>
      <c r="B754" t="s">
        <v>63</v>
      </c>
      <c r="C754" t="s">
        <v>64</v>
      </c>
      <c r="D754" t="s">
        <v>2738</v>
      </c>
      <c r="E754" t="s">
        <v>1093</v>
      </c>
      <c r="F754">
        <v>50</v>
      </c>
      <c r="G754">
        <v>93</v>
      </c>
      <c r="H754">
        <v>37</v>
      </c>
      <c r="I754" s="1">
        <v>2.4500000000000002</v>
      </c>
      <c r="J754" s="2">
        <v>45668</v>
      </c>
      <c r="K754" s="2">
        <v>45353</v>
      </c>
      <c r="L754" s="2">
        <v>45424</v>
      </c>
      <c r="M754" t="s">
        <v>2739</v>
      </c>
      <c r="N754">
        <v>78</v>
      </c>
      <c r="O754">
        <v>79</v>
      </c>
      <c r="P754" t="s">
        <v>38</v>
      </c>
      <c r="Q754" t="str">
        <f t="shared" si="47"/>
        <v>Expiry before Received</v>
      </c>
      <c r="R754" s="3">
        <f t="shared" si="45"/>
        <v>122.50000000000001</v>
      </c>
      <c r="S754">
        <f t="shared" si="44"/>
        <v>43</v>
      </c>
      <c r="T754" t="str">
        <f t="shared" si="46"/>
        <v>Reorder Required</v>
      </c>
    </row>
    <row r="755" spans="1:20" x14ac:dyDescent="0.3">
      <c r="A755" t="s">
        <v>2740</v>
      </c>
      <c r="B755" t="s">
        <v>719</v>
      </c>
      <c r="C755" t="s">
        <v>64</v>
      </c>
      <c r="D755" t="s">
        <v>2741</v>
      </c>
      <c r="E755" t="s">
        <v>2376</v>
      </c>
      <c r="F755">
        <v>70</v>
      </c>
      <c r="G755">
        <v>96</v>
      </c>
      <c r="H755">
        <v>35</v>
      </c>
      <c r="I755" s="1">
        <v>9</v>
      </c>
      <c r="J755" s="2">
        <v>45696</v>
      </c>
      <c r="K755" s="2">
        <v>45467</v>
      </c>
      <c r="L755" s="2">
        <v>45674</v>
      </c>
      <c r="M755" t="s">
        <v>2742</v>
      </c>
      <c r="N755">
        <v>63</v>
      </c>
      <c r="O755">
        <v>84</v>
      </c>
      <c r="P755" t="s">
        <v>38</v>
      </c>
      <c r="Q755" t="str">
        <f t="shared" si="47"/>
        <v>Expiry before Received</v>
      </c>
      <c r="R755" s="3">
        <f t="shared" si="45"/>
        <v>630</v>
      </c>
      <c r="S755">
        <f t="shared" si="44"/>
        <v>26</v>
      </c>
      <c r="T755" t="str">
        <f t="shared" si="46"/>
        <v>Reorder Required</v>
      </c>
    </row>
    <row r="756" spans="1:20" x14ac:dyDescent="0.3">
      <c r="A756" t="s">
        <v>2743</v>
      </c>
      <c r="B756" t="s">
        <v>440</v>
      </c>
      <c r="C756" t="s">
        <v>47</v>
      </c>
      <c r="D756" t="s">
        <v>2744</v>
      </c>
      <c r="E756" t="s">
        <v>2219</v>
      </c>
      <c r="F756">
        <v>40</v>
      </c>
      <c r="G756">
        <v>61</v>
      </c>
      <c r="H756">
        <v>47</v>
      </c>
      <c r="I756" s="1">
        <v>10</v>
      </c>
      <c r="J756" s="2">
        <v>45532</v>
      </c>
      <c r="K756" s="2">
        <v>45454</v>
      </c>
      <c r="L756" s="2">
        <v>45439</v>
      </c>
      <c r="M756" t="s">
        <v>2745</v>
      </c>
      <c r="N756">
        <v>76</v>
      </c>
      <c r="O756">
        <v>10</v>
      </c>
      <c r="P756" t="s">
        <v>26</v>
      </c>
      <c r="Q756" t="str">
        <f t="shared" si="47"/>
        <v>Expiry before Received</v>
      </c>
      <c r="R756" s="3">
        <f t="shared" si="45"/>
        <v>400</v>
      </c>
      <c r="S756">
        <f t="shared" si="44"/>
        <v>21</v>
      </c>
      <c r="T756" t="str">
        <f t="shared" si="46"/>
        <v>Reorder Required</v>
      </c>
    </row>
    <row r="757" spans="1:20" x14ac:dyDescent="0.3">
      <c r="A757" t="s">
        <v>2746</v>
      </c>
      <c r="B757" t="s">
        <v>57</v>
      </c>
      <c r="C757" t="s">
        <v>58</v>
      </c>
      <c r="D757" t="s">
        <v>2747</v>
      </c>
      <c r="E757" t="s">
        <v>1659</v>
      </c>
      <c r="F757">
        <v>75</v>
      </c>
      <c r="G757">
        <v>23</v>
      </c>
      <c r="H757">
        <v>34</v>
      </c>
      <c r="I757" s="1">
        <v>2.5</v>
      </c>
      <c r="J757" s="2">
        <v>45465</v>
      </c>
      <c r="K757" s="2">
        <v>45539</v>
      </c>
      <c r="L757" s="2">
        <v>45477</v>
      </c>
      <c r="M757" t="s">
        <v>2748</v>
      </c>
      <c r="N757">
        <v>100</v>
      </c>
      <c r="O757">
        <v>54</v>
      </c>
      <c r="P757" t="s">
        <v>38</v>
      </c>
      <c r="Q757" t="str">
        <f t="shared" si="47"/>
        <v>OK</v>
      </c>
      <c r="R757" s="3">
        <f t="shared" si="45"/>
        <v>187.5</v>
      </c>
      <c r="S757">
        <f t="shared" si="44"/>
        <v>0</v>
      </c>
      <c r="T757" t="str">
        <f t="shared" si="46"/>
        <v>Sufficient Stock</v>
      </c>
    </row>
    <row r="758" spans="1:20" x14ac:dyDescent="0.3">
      <c r="A758" t="s">
        <v>2749</v>
      </c>
      <c r="B758" t="s">
        <v>98</v>
      </c>
      <c r="C758" t="s">
        <v>47</v>
      </c>
      <c r="D758" t="s">
        <v>2750</v>
      </c>
      <c r="E758" t="s">
        <v>662</v>
      </c>
      <c r="F758">
        <v>26</v>
      </c>
      <c r="G758">
        <v>97</v>
      </c>
      <c r="H758">
        <v>12</v>
      </c>
      <c r="I758" s="1">
        <v>6</v>
      </c>
      <c r="J758" s="2">
        <v>45560</v>
      </c>
      <c r="K758" s="2">
        <v>45624</v>
      </c>
      <c r="L758" s="2">
        <v>45455</v>
      </c>
      <c r="M758" t="s">
        <v>2751</v>
      </c>
      <c r="N758">
        <v>94</v>
      </c>
      <c r="O758">
        <v>58</v>
      </c>
      <c r="P758" t="s">
        <v>26</v>
      </c>
      <c r="Q758" t="str">
        <f t="shared" si="47"/>
        <v>Expiry before Received</v>
      </c>
      <c r="R758" s="3">
        <f t="shared" si="45"/>
        <v>156</v>
      </c>
      <c r="S758">
        <f t="shared" si="44"/>
        <v>71</v>
      </c>
      <c r="T758" t="str">
        <f t="shared" si="46"/>
        <v>Reorder Required</v>
      </c>
    </row>
    <row r="759" spans="1:20" x14ac:dyDescent="0.3">
      <c r="A759" t="s">
        <v>2752</v>
      </c>
      <c r="B759" t="s">
        <v>28</v>
      </c>
      <c r="C759" t="s">
        <v>29</v>
      </c>
      <c r="D759" t="s">
        <v>2753</v>
      </c>
      <c r="E759" t="s">
        <v>999</v>
      </c>
      <c r="F759">
        <v>13</v>
      </c>
      <c r="G759">
        <v>55</v>
      </c>
      <c r="H759">
        <v>77</v>
      </c>
      <c r="I759" s="1">
        <v>20</v>
      </c>
      <c r="J759" s="2">
        <v>45582</v>
      </c>
      <c r="K759" s="2">
        <v>45642</v>
      </c>
      <c r="L759" s="2">
        <v>45599</v>
      </c>
      <c r="M759" t="s">
        <v>2754</v>
      </c>
      <c r="N759">
        <v>67</v>
      </c>
      <c r="O759">
        <v>68</v>
      </c>
      <c r="P759" t="s">
        <v>38</v>
      </c>
      <c r="Q759" t="str">
        <f t="shared" si="47"/>
        <v>OK</v>
      </c>
      <c r="R759" s="3">
        <f t="shared" si="45"/>
        <v>260</v>
      </c>
      <c r="S759">
        <f t="shared" si="44"/>
        <v>42</v>
      </c>
      <c r="T759" t="str">
        <f t="shared" si="46"/>
        <v>Reorder Required</v>
      </c>
    </row>
    <row r="760" spans="1:20" x14ac:dyDescent="0.3">
      <c r="A760" t="s">
        <v>2755</v>
      </c>
      <c r="B760" t="s">
        <v>46</v>
      </c>
      <c r="C760" t="s">
        <v>47</v>
      </c>
      <c r="D760" t="s">
        <v>2756</v>
      </c>
      <c r="E760" t="s">
        <v>2757</v>
      </c>
      <c r="F760">
        <v>11</v>
      </c>
      <c r="G760">
        <v>58</v>
      </c>
      <c r="H760">
        <v>32</v>
      </c>
      <c r="I760" s="1">
        <v>4</v>
      </c>
      <c r="J760" s="2">
        <v>45350</v>
      </c>
      <c r="K760" s="2">
        <v>45482</v>
      </c>
      <c r="L760" s="2">
        <v>45620</v>
      </c>
      <c r="M760" t="s">
        <v>2758</v>
      </c>
      <c r="N760">
        <v>99</v>
      </c>
      <c r="O760">
        <v>94</v>
      </c>
      <c r="P760" t="s">
        <v>44</v>
      </c>
      <c r="Q760" t="str">
        <f t="shared" si="47"/>
        <v>OK</v>
      </c>
      <c r="R760" s="3">
        <f t="shared" si="45"/>
        <v>44</v>
      </c>
      <c r="S760">
        <f t="shared" si="44"/>
        <v>47</v>
      </c>
      <c r="T760" t="str">
        <f t="shared" si="46"/>
        <v>Reorder Required</v>
      </c>
    </row>
    <row r="761" spans="1:20" x14ac:dyDescent="0.3">
      <c r="A761" t="s">
        <v>2759</v>
      </c>
      <c r="B761" t="s">
        <v>1479</v>
      </c>
      <c r="C761" t="s">
        <v>132</v>
      </c>
      <c r="D761" t="s">
        <v>2760</v>
      </c>
      <c r="E761" t="s">
        <v>188</v>
      </c>
      <c r="F761">
        <v>98</v>
      </c>
      <c r="G761">
        <v>67</v>
      </c>
      <c r="H761">
        <v>49</v>
      </c>
      <c r="I761" s="1">
        <v>15</v>
      </c>
      <c r="J761" s="2">
        <v>45513</v>
      </c>
      <c r="K761" s="2">
        <v>45655</v>
      </c>
      <c r="L761" s="2">
        <v>45386</v>
      </c>
      <c r="M761" t="s">
        <v>2761</v>
      </c>
      <c r="N761">
        <v>21</v>
      </c>
      <c r="O761">
        <v>61</v>
      </c>
      <c r="P761" t="s">
        <v>44</v>
      </c>
      <c r="Q761" t="str">
        <f t="shared" si="47"/>
        <v>Expiry before Received</v>
      </c>
      <c r="R761" s="3">
        <f t="shared" si="45"/>
        <v>1470</v>
      </c>
      <c r="S761">
        <f t="shared" si="44"/>
        <v>0</v>
      </c>
      <c r="T761" t="str">
        <f t="shared" si="46"/>
        <v>Sufficient Stock</v>
      </c>
    </row>
    <row r="762" spans="1:20" x14ac:dyDescent="0.3">
      <c r="A762" t="s">
        <v>2762</v>
      </c>
      <c r="B762" t="s">
        <v>349</v>
      </c>
      <c r="C762" t="s">
        <v>47</v>
      </c>
      <c r="D762" t="s">
        <v>2763</v>
      </c>
      <c r="E762" t="s">
        <v>413</v>
      </c>
      <c r="F762">
        <v>35</v>
      </c>
      <c r="G762">
        <v>4</v>
      </c>
      <c r="H762">
        <v>76</v>
      </c>
      <c r="I762" s="1">
        <v>4</v>
      </c>
      <c r="J762" s="2">
        <v>45513</v>
      </c>
      <c r="K762" s="2">
        <v>45526</v>
      </c>
      <c r="L762" s="2">
        <v>45520</v>
      </c>
      <c r="M762" t="s">
        <v>2764</v>
      </c>
      <c r="N762">
        <v>90</v>
      </c>
      <c r="O762">
        <v>30</v>
      </c>
      <c r="P762" t="s">
        <v>26</v>
      </c>
      <c r="Q762" t="str">
        <f t="shared" si="47"/>
        <v>OK</v>
      </c>
      <c r="R762" s="3">
        <f t="shared" si="45"/>
        <v>140</v>
      </c>
      <c r="S762">
        <f t="shared" si="44"/>
        <v>0</v>
      </c>
      <c r="T762" t="str">
        <f t="shared" si="46"/>
        <v>Sufficient Stock</v>
      </c>
    </row>
    <row r="763" spans="1:20" x14ac:dyDescent="0.3">
      <c r="A763" t="s">
        <v>2765</v>
      </c>
      <c r="B763" t="s">
        <v>1042</v>
      </c>
      <c r="C763" t="s">
        <v>132</v>
      </c>
      <c r="D763" t="s">
        <v>2766</v>
      </c>
      <c r="E763" t="s">
        <v>2343</v>
      </c>
      <c r="F763">
        <v>45</v>
      </c>
      <c r="G763">
        <v>56</v>
      </c>
      <c r="H763">
        <v>64</v>
      </c>
      <c r="I763" s="1">
        <v>7.5</v>
      </c>
      <c r="J763" s="2">
        <v>45487</v>
      </c>
      <c r="K763" s="2">
        <v>45530</v>
      </c>
      <c r="L763" s="2">
        <v>45478</v>
      </c>
      <c r="M763" t="s">
        <v>2767</v>
      </c>
      <c r="N763">
        <v>35</v>
      </c>
      <c r="O763">
        <v>82</v>
      </c>
      <c r="P763" t="s">
        <v>26</v>
      </c>
      <c r="Q763" t="str">
        <f t="shared" si="47"/>
        <v>Expiry before Received</v>
      </c>
      <c r="R763" s="3">
        <f t="shared" si="45"/>
        <v>337.5</v>
      </c>
      <c r="S763">
        <f t="shared" si="44"/>
        <v>11</v>
      </c>
      <c r="T763" t="str">
        <f t="shared" si="46"/>
        <v>Reorder Required</v>
      </c>
    </row>
    <row r="764" spans="1:20" x14ac:dyDescent="0.3">
      <c r="A764" t="s">
        <v>2768</v>
      </c>
      <c r="B764" t="s">
        <v>1002</v>
      </c>
      <c r="C764" t="s">
        <v>47</v>
      </c>
      <c r="D764" t="s">
        <v>2769</v>
      </c>
      <c r="E764" t="s">
        <v>2137</v>
      </c>
      <c r="F764">
        <v>47</v>
      </c>
      <c r="G764">
        <v>22</v>
      </c>
      <c r="H764">
        <v>69</v>
      </c>
      <c r="I764" s="1">
        <v>4</v>
      </c>
      <c r="J764" s="2">
        <v>45353</v>
      </c>
      <c r="K764" s="2">
        <v>45487</v>
      </c>
      <c r="L764" s="2">
        <v>45446</v>
      </c>
      <c r="M764" t="s">
        <v>2770</v>
      </c>
      <c r="N764">
        <v>26</v>
      </c>
      <c r="O764">
        <v>59</v>
      </c>
      <c r="P764" t="s">
        <v>38</v>
      </c>
      <c r="Q764" t="str">
        <f t="shared" si="47"/>
        <v>OK</v>
      </c>
      <c r="R764" s="3">
        <f t="shared" si="45"/>
        <v>188</v>
      </c>
      <c r="S764">
        <f t="shared" si="44"/>
        <v>0</v>
      </c>
      <c r="T764" t="str">
        <f t="shared" si="46"/>
        <v>Sufficient Stock</v>
      </c>
    </row>
    <row r="765" spans="1:20" x14ac:dyDescent="0.3">
      <c r="A765" t="s">
        <v>2771</v>
      </c>
      <c r="B765" t="s">
        <v>737</v>
      </c>
      <c r="C765" t="s">
        <v>58</v>
      </c>
      <c r="D765" t="s">
        <v>2772</v>
      </c>
      <c r="E765" t="s">
        <v>947</v>
      </c>
      <c r="F765">
        <v>89</v>
      </c>
      <c r="G765">
        <v>66</v>
      </c>
      <c r="H765">
        <v>28</v>
      </c>
      <c r="I765" s="1">
        <v>6.5</v>
      </c>
      <c r="J765" s="2">
        <v>45670</v>
      </c>
      <c r="K765" s="2">
        <v>45615</v>
      </c>
      <c r="L765" s="2">
        <v>45621</v>
      </c>
      <c r="M765" t="s">
        <v>2773</v>
      </c>
      <c r="N765">
        <v>39</v>
      </c>
      <c r="O765">
        <v>25</v>
      </c>
      <c r="P765" t="s">
        <v>44</v>
      </c>
      <c r="Q765" t="str">
        <f t="shared" si="47"/>
        <v>Expiry before Received</v>
      </c>
      <c r="R765" s="3">
        <f t="shared" si="45"/>
        <v>578.5</v>
      </c>
      <c r="S765">
        <f t="shared" si="44"/>
        <v>0</v>
      </c>
      <c r="T765" t="str">
        <f t="shared" si="46"/>
        <v>Sufficient Stock</v>
      </c>
    </row>
    <row r="766" spans="1:20" x14ac:dyDescent="0.3">
      <c r="A766" t="s">
        <v>2774</v>
      </c>
      <c r="B766" t="s">
        <v>234</v>
      </c>
      <c r="C766" t="s">
        <v>29</v>
      </c>
      <c r="D766" t="s">
        <v>2775</v>
      </c>
      <c r="E766" t="s">
        <v>178</v>
      </c>
      <c r="F766">
        <v>33</v>
      </c>
      <c r="G766">
        <v>22</v>
      </c>
      <c r="H766">
        <v>94</v>
      </c>
      <c r="I766" s="1">
        <v>15</v>
      </c>
      <c r="J766" s="2">
        <v>45624</v>
      </c>
      <c r="K766" s="2">
        <v>45559</v>
      </c>
      <c r="L766" s="2">
        <v>45534</v>
      </c>
      <c r="M766" t="s">
        <v>2776</v>
      </c>
      <c r="N766">
        <v>96</v>
      </c>
      <c r="O766">
        <v>56</v>
      </c>
      <c r="P766" t="s">
        <v>26</v>
      </c>
      <c r="Q766" t="str">
        <f t="shared" si="47"/>
        <v>Expiry before Received</v>
      </c>
      <c r="R766" s="3">
        <f t="shared" si="45"/>
        <v>495</v>
      </c>
      <c r="S766">
        <f t="shared" si="44"/>
        <v>0</v>
      </c>
      <c r="T766" t="str">
        <f t="shared" si="46"/>
        <v>Sufficient Stock</v>
      </c>
    </row>
    <row r="767" spans="1:20" x14ac:dyDescent="0.3">
      <c r="A767" t="s">
        <v>2777</v>
      </c>
      <c r="B767" t="s">
        <v>1184</v>
      </c>
      <c r="C767" t="s">
        <v>47</v>
      </c>
      <c r="D767" t="s">
        <v>2778</v>
      </c>
      <c r="E767" t="s">
        <v>1194</v>
      </c>
      <c r="F767">
        <v>90</v>
      </c>
      <c r="G767">
        <v>30</v>
      </c>
      <c r="H767">
        <v>42</v>
      </c>
      <c r="I767" s="1">
        <v>5</v>
      </c>
      <c r="J767" s="2">
        <v>45523</v>
      </c>
      <c r="K767" s="2">
        <v>45502</v>
      </c>
      <c r="L767" s="2">
        <v>45353</v>
      </c>
      <c r="M767" t="s">
        <v>2779</v>
      </c>
      <c r="N767">
        <v>76</v>
      </c>
      <c r="O767">
        <v>69</v>
      </c>
      <c r="P767" t="s">
        <v>38</v>
      </c>
      <c r="Q767" t="str">
        <f t="shared" si="47"/>
        <v>Expiry before Received</v>
      </c>
      <c r="R767" s="3">
        <f t="shared" si="45"/>
        <v>450</v>
      </c>
      <c r="S767">
        <f t="shared" si="44"/>
        <v>0</v>
      </c>
      <c r="T767" t="str">
        <f t="shared" si="46"/>
        <v>Sufficient Stock</v>
      </c>
    </row>
    <row r="768" spans="1:20" x14ac:dyDescent="0.3">
      <c r="A768" t="s">
        <v>2780</v>
      </c>
      <c r="B768" t="s">
        <v>467</v>
      </c>
      <c r="C768" t="s">
        <v>22</v>
      </c>
      <c r="D768" t="s">
        <v>2781</v>
      </c>
      <c r="E768" t="s">
        <v>1395</v>
      </c>
      <c r="F768">
        <v>44</v>
      </c>
      <c r="G768">
        <v>26</v>
      </c>
      <c r="H768">
        <v>60</v>
      </c>
      <c r="I768" s="1">
        <v>4.75</v>
      </c>
      <c r="J768" s="2">
        <v>45366</v>
      </c>
      <c r="K768" s="2">
        <v>45527</v>
      </c>
      <c r="L768" s="2">
        <v>45509</v>
      </c>
      <c r="M768" t="s">
        <v>2782</v>
      </c>
      <c r="N768">
        <v>63</v>
      </c>
      <c r="O768">
        <v>59</v>
      </c>
      <c r="P768" t="s">
        <v>26</v>
      </c>
      <c r="Q768" t="str">
        <f t="shared" si="47"/>
        <v>OK</v>
      </c>
      <c r="R768" s="3">
        <f t="shared" si="45"/>
        <v>209</v>
      </c>
      <c r="S768">
        <f t="shared" si="44"/>
        <v>0</v>
      </c>
      <c r="T768" t="str">
        <f t="shared" si="46"/>
        <v>Sufficient Stock</v>
      </c>
    </row>
    <row r="769" spans="1:20" x14ac:dyDescent="0.3">
      <c r="A769" t="s">
        <v>2783</v>
      </c>
      <c r="B769" t="s">
        <v>1468</v>
      </c>
      <c r="C769" t="s">
        <v>22</v>
      </c>
      <c r="D769" t="s">
        <v>2784</v>
      </c>
      <c r="E769" t="s">
        <v>2785</v>
      </c>
      <c r="F769">
        <v>41</v>
      </c>
      <c r="G769">
        <v>56</v>
      </c>
      <c r="H769">
        <v>12</v>
      </c>
      <c r="I769" s="1">
        <v>9.75</v>
      </c>
      <c r="J769" s="2">
        <v>45418</v>
      </c>
      <c r="K769" s="2">
        <v>45621</v>
      </c>
      <c r="L769" s="2">
        <v>45351</v>
      </c>
      <c r="M769" t="s">
        <v>2786</v>
      </c>
      <c r="N769">
        <v>93</v>
      </c>
      <c r="O769">
        <v>88</v>
      </c>
      <c r="P769" t="s">
        <v>44</v>
      </c>
      <c r="Q769" t="str">
        <f t="shared" si="47"/>
        <v>Expiry before Received</v>
      </c>
      <c r="R769" s="3">
        <f t="shared" si="45"/>
        <v>399.75</v>
      </c>
      <c r="S769">
        <f t="shared" si="44"/>
        <v>15</v>
      </c>
      <c r="T769" t="str">
        <f t="shared" si="46"/>
        <v>Reorder Required</v>
      </c>
    </row>
    <row r="770" spans="1:20" x14ac:dyDescent="0.3">
      <c r="A770" t="s">
        <v>2787</v>
      </c>
      <c r="B770" t="s">
        <v>389</v>
      </c>
      <c r="C770" t="s">
        <v>47</v>
      </c>
      <c r="D770" t="s">
        <v>2788</v>
      </c>
      <c r="E770" t="s">
        <v>1985</v>
      </c>
      <c r="F770">
        <v>72</v>
      </c>
      <c r="G770">
        <v>58</v>
      </c>
      <c r="H770">
        <v>69</v>
      </c>
      <c r="I770" s="1">
        <v>1.2</v>
      </c>
      <c r="J770" s="2">
        <v>45581</v>
      </c>
      <c r="K770" s="2">
        <v>45691</v>
      </c>
      <c r="L770" s="2">
        <v>45711</v>
      </c>
      <c r="M770" t="s">
        <v>2789</v>
      </c>
      <c r="N770">
        <v>96</v>
      </c>
      <c r="O770">
        <v>23</v>
      </c>
      <c r="P770" t="s">
        <v>38</v>
      </c>
      <c r="Q770" t="str">
        <f t="shared" si="47"/>
        <v>OK</v>
      </c>
      <c r="R770" s="3">
        <f t="shared" si="45"/>
        <v>86.399999999999991</v>
      </c>
      <c r="S770">
        <f t="shared" ref="S770:S833" si="48">MAX(0,G770-F770)</f>
        <v>0</v>
      </c>
      <c r="T770" t="str">
        <f t="shared" si="46"/>
        <v>Sufficient Stock</v>
      </c>
    </row>
    <row r="771" spans="1:20" x14ac:dyDescent="0.3">
      <c r="A771" t="s">
        <v>2790</v>
      </c>
      <c r="B771" t="s">
        <v>63</v>
      </c>
      <c r="C771" t="s">
        <v>64</v>
      </c>
      <c r="D771" t="s">
        <v>2791</v>
      </c>
      <c r="E771" t="s">
        <v>203</v>
      </c>
      <c r="F771">
        <v>72</v>
      </c>
      <c r="G771">
        <v>58</v>
      </c>
      <c r="H771">
        <v>52</v>
      </c>
      <c r="I771" s="1">
        <v>2.4</v>
      </c>
      <c r="J771" s="2">
        <v>45703</v>
      </c>
      <c r="K771" s="2">
        <v>45428</v>
      </c>
      <c r="L771" s="2">
        <v>45588</v>
      </c>
      <c r="M771" t="s">
        <v>2792</v>
      </c>
      <c r="N771">
        <v>36</v>
      </c>
      <c r="O771">
        <v>14</v>
      </c>
      <c r="P771" t="s">
        <v>44</v>
      </c>
      <c r="Q771" t="str">
        <f t="shared" si="47"/>
        <v>Expiry before Received</v>
      </c>
      <c r="R771" s="3">
        <f t="shared" ref="R771:R834" si="49">F771*I771</f>
        <v>172.79999999999998</v>
      </c>
      <c r="S771">
        <f t="shared" si="48"/>
        <v>0</v>
      </c>
      <c r="T771" t="str">
        <f t="shared" ref="T771:T834" si="50">IF(F771&lt;G771,"Reorder Required","Sufficient Stock")</f>
        <v>Sufficient Stock</v>
      </c>
    </row>
    <row r="772" spans="1:20" x14ac:dyDescent="0.3">
      <c r="A772" t="s">
        <v>2793</v>
      </c>
      <c r="B772" t="s">
        <v>234</v>
      </c>
      <c r="C772" t="s">
        <v>29</v>
      </c>
      <c r="D772" t="s">
        <v>2794</v>
      </c>
      <c r="E772" t="s">
        <v>939</v>
      </c>
      <c r="F772">
        <v>40</v>
      </c>
      <c r="G772">
        <v>30</v>
      </c>
      <c r="H772">
        <v>60</v>
      </c>
      <c r="I772" s="1">
        <v>15</v>
      </c>
      <c r="J772" s="2">
        <v>45540</v>
      </c>
      <c r="K772" s="2">
        <v>45588</v>
      </c>
      <c r="L772" s="2">
        <v>45415</v>
      </c>
      <c r="M772" t="s">
        <v>2795</v>
      </c>
      <c r="N772">
        <v>33</v>
      </c>
      <c r="O772">
        <v>84</v>
      </c>
      <c r="P772" t="s">
        <v>44</v>
      </c>
      <c r="Q772" t="str">
        <f t="shared" si="47"/>
        <v>Expiry before Received</v>
      </c>
      <c r="R772" s="3">
        <f t="shared" si="49"/>
        <v>600</v>
      </c>
      <c r="S772">
        <f t="shared" si="48"/>
        <v>0</v>
      </c>
      <c r="T772" t="str">
        <f t="shared" si="50"/>
        <v>Sufficient Stock</v>
      </c>
    </row>
    <row r="773" spans="1:20" x14ac:dyDescent="0.3">
      <c r="A773" t="s">
        <v>2796</v>
      </c>
      <c r="B773" t="s">
        <v>1551</v>
      </c>
      <c r="C773" t="s">
        <v>89</v>
      </c>
      <c r="D773" t="s">
        <v>2797</v>
      </c>
      <c r="E773" t="s">
        <v>485</v>
      </c>
      <c r="F773">
        <v>36</v>
      </c>
      <c r="G773">
        <v>53</v>
      </c>
      <c r="H773">
        <v>92</v>
      </c>
      <c r="I773" s="1">
        <v>3.5</v>
      </c>
      <c r="J773" s="2">
        <v>45480</v>
      </c>
      <c r="K773" s="2">
        <v>45444</v>
      </c>
      <c r="L773" s="2">
        <v>45373</v>
      </c>
      <c r="M773" t="s">
        <v>2798</v>
      </c>
      <c r="N773">
        <v>67</v>
      </c>
      <c r="O773">
        <v>43</v>
      </c>
      <c r="P773" t="s">
        <v>38</v>
      </c>
      <c r="Q773" t="str">
        <f t="shared" si="47"/>
        <v>Expiry before Received</v>
      </c>
      <c r="R773" s="3">
        <f t="shared" si="49"/>
        <v>126</v>
      </c>
      <c r="S773">
        <f t="shared" si="48"/>
        <v>17</v>
      </c>
      <c r="T773" t="str">
        <f t="shared" si="50"/>
        <v>Reorder Required</v>
      </c>
    </row>
    <row r="774" spans="1:20" x14ac:dyDescent="0.3">
      <c r="A774" t="s">
        <v>2799</v>
      </c>
      <c r="B774" t="s">
        <v>710</v>
      </c>
      <c r="C774" t="s">
        <v>58</v>
      </c>
      <c r="D774" t="s">
        <v>2800</v>
      </c>
      <c r="E774" t="s">
        <v>1639</v>
      </c>
      <c r="F774">
        <v>51</v>
      </c>
      <c r="G774">
        <v>87</v>
      </c>
      <c r="H774">
        <v>86</v>
      </c>
      <c r="I774" s="1">
        <v>2</v>
      </c>
      <c r="J774" s="2">
        <v>45383</v>
      </c>
      <c r="K774" s="2">
        <v>45431</v>
      </c>
      <c r="L774" s="2">
        <v>45454</v>
      </c>
      <c r="M774" t="s">
        <v>2801</v>
      </c>
      <c r="N774">
        <v>24</v>
      </c>
      <c r="O774">
        <v>83</v>
      </c>
      <c r="P774" t="s">
        <v>38</v>
      </c>
      <c r="Q774" t="str">
        <f t="shared" si="47"/>
        <v>OK</v>
      </c>
      <c r="R774" s="3">
        <f t="shared" si="49"/>
        <v>102</v>
      </c>
      <c r="S774">
        <f t="shared" si="48"/>
        <v>36</v>
      </c>
      <c r="T774" t="str">
        <f t="shared" si="50"/>
        <v>Reorder Required</v>
      </c>
    </row>
    <row r="775" spans="1:20" x14ac:dyDescent="0.3">
      <c r="A775" t="s">
        <v>2802</v>
      </c>
      <c r="B775" t="s">
        <v>234</v>
      </c>
      <c r="C775" t="s">
        <v>29</v>
      </c>
      <c r="D775" t="s">
        <v>2803</v>
      </c>
      <c r="E775" t="s">
        <v>1866</v>
      </c>
      <c r="F775">
        <v>87</v>
      </c>
      <c r="G775">
        <v>91</v>
      </c>
      <c r="H775">
        <v>23</v>
      </c>
      <c r="I775" s="1">
        <v>14.9</v>
      </c>
      <c r="J775" s="2">
        <v>45655</v>
      </c>
      <c r="K775" s="2">
        <v>45435</v>
      </c>
      <c r="L775" s="2">
        <v>45521</v>
      </c>
      <c r="M775" t="s">
        <v>2804</v>
      </c>
      <c r="N775">
        <v>90</v>
      </c>
      <c r="O775">
        <v>75</v>
      </c>
      <c r="P775" t="s">
        <v>38</v>
      </c>
      <c r="Q775" t="str">
        <f t="shared" ref="Q775:Q838" si="51">IF(L775&lt;J775,"Expiry before Received",IF(K775&lt;J775,"Last Order before Received","OK"))</f>
        <v>Expiry before Received</v>
      </c>
      <c r="R775" s="3">
        <f t="shared" si="49"/>
        <v>1296.3</v>
      </c>
      <c r="S775">
        <f t="shared" si="48"/>
        <v>4</v>
      </c>
      <c r="T775" t="str">
        <f t="shared" si="50"/>
        <v>Reorder Required</v>
      </c>
    </row>
    <row r="776" spans="1:20" x14ac:dyDescent="0.3">
      <c r="A776" t="s">
        <v>2805</v>
      </c>
      <c r="B776" t="s">
        <v>171</v>
      </c>
      <c r="C776" t="s">
        <v>47</v>
      </c>
      <c r="D776" t="s">
        <v>2806</v>
      </c>
      <c r="E776" t="s">
        <v>2591</v>
      </c>
      <c r="F776">
        <v>79</v>
      </c>
      <c r="G776">
        <v>37</v>
      </c>
      <c r="H776">
        <v>98</v>
      </c>
      <c r="I776" s="1">
        <v>4.5</v>
      </c>
      <c r="J776" s="2">
        <v>45536</v>
      </c>
      <c r="K776" s="2">
        <v>45353</v>
      </c>
      <c r="L776" s="2">
        <v>45381</v>
      </c>
      <c r="M776" t="s">
        <v>2807</v>
      </c>
      <c r="N776">
        <v>33</v>
      </c>
      <c r="O776">
        <v>20</v>
      </c>
      <c r="P776" t="s">
        <v>26</v>
      </c>
      <c r="Q776" t="str">
        <f t="shared" si="51"/>
        <v>Expiry before Received</v>
      </c>
      <c r="R776" s="3">
        <f t="shared" si="49"/>
        <v>355.5</v>
      </c>
      <c r="S776">
        <f t="shared" si="48"/>
        <v>0</v>
      </c>
      <c r="T776" t="str">
        <f t="shared" si="50"/>
        <v>Sufficient Stock</v>
      </c>
    </row>
    <row r="777" spans="1:20" x14ac:dyDescent="0.3">
      <c r="A777" t="s">
        <v>2808</v>
      </c>
      <c r="B777" t="s">
        <v>508</v>
      </c>
      <c r="C777" t="s">
        <v>132</v>
      </c>
      <c r="D777" t="s">
        <v>2809</v>
      </c>
      <c r="E777" t="s">
        <v>1889</v>
      </c>
      <c r="F777">
        <v>14</v>
      </c>
      <c r="G777">
        <v>52</v>
      </c>
      <c r="H777">
        <v>80</v>
      </c>
      <c r="I777" s="1">
        <v>6.8</v>
      </c>
      <c r="J777" s="2">
        <v>45499</v>
      </c>
      <c r="K777" s="2">
        <v>45486</v>
      </c>
      <c r="L777" s="2">
        <v>45496</v>
      </c>
      <c r="M777" t="s">
        <v>2810</v>
      </c>
      <c r="N777">
        <v>64</v>
      </c>
      <c r="O777">
        <v>17</v>
      </c>
      <c r="P777" t="s">
        <v>26</v>
      </c>
      <c r="Q777" t="str">
        <f t="shared" si="51"/>
        <v>Expiry before Received</v>
      </c>
      <c r="R777" s="3">
        <f t="shared" si="49"/>
        <v>95.2</v>
      </c>
      <c r="S777">
        <f t="shared" si="48"/>
        <v>38</v>
      </c>
      <c r="T777" t="str">
        <f t="shared" si="50"/>
        <v>Reorder Required</v>
      </c>
    </row>
    <row r="778" spans="1:20" x14ac:dyDescent="0.3">
      <c r="A778" t="s">
        <v>2811</v>
      </c>
      <c r="B778" t="s">
        <v>274</v>
      </c>
      <c r="C778" t="s">
        <v>47</v>
      </c>
      <c r="D778" t="s">
        <v>2812</v>
      </c>
      <c r="E778" t="s">
        <v>1064</v>
      </c>
      <c r="F778">
        <v>81</v>
      </c>
      <c r="G778">
        <v>35</v>
      </c>
      <c r="H778">
        <v>82</v>
      </c>
      <c r="I778" s="1">
        <v>3</v>
      </c>
      <c r="J778" s="2">
        <v>45656</v>
      </c>
      <c r="K778" s="2">
        <v>45376</v>
      </c>
      <c r="L778" s="2">
        <v>45698</v>
      </c>
      <c r="M778" t="s">
        <v>2813</v>
      </c>
      <c r="N778">
        <v>86</v>
      </c>
      <c r="O778">
        <v>71</v>
      </c>
      <c r="P778" t="s">
        <v>38</v>
      </c>
      <c r="Q778" t="str">
        <f t="shared" si="51"/>
        <v>Last Order before Received</v>
      </c>
      <c r="R778" s="3">
        <f t="shared" si="49"/>
        <v>243</v>
      </c>
      <c r="S778">
        <f t="shared" si="48"/>
        <v>0</v>
      </c>
      <c r="T778" t="str">
        <f t="shared" si="50"/>
        <v>Sufficient Stock</v>
      </c>
    </row>
    <row r="779" spans="1:20" x14ac:dyDescent="0.3">
      <c r="A779" t="s">
        <v>2814</v>
      </c>
      <c r="B779" t="s">
        <v>881</v>
      </c>
      <c r="C779" t="s">
        <v>47</v>
      </c>
      <c r="D779" t="s">
        <v>2815</v>
      </c>
      <c r="E779" t="s">
        <v>330</v>
      </c>
      <c r="F779">
        <v>75</v>
      </c>
      <c r="G779">
        <v>18</v>
      </c>
      <c r="H779">
        <v>65</v>
      </c>
      <c r="I779" s="1">
        <v>2</v>
      </c>
      <c r="J779" s="2">
        <v>45705</v>
      </c>
      <c r="K779" s="2">
        <v>45656</v>
      </c>
      <c r="L779" s="2">
        <v>45366</v>
      </c>
      <c r="M779" t="s">
        <v>2816</v>
      </c>
      <c r="N779">
        <v>32</v>
      </c>
      <c r="O779">
        <v>92</v>
      </c>
      <c r="P779" t="s">
        <v>44</v>
      </c>
      <c r="Q779" t="str">
        <f t="shared" si="51"/>
        <v>Expiry before Received</v>
      </c>
      <c r="R779" s="3">
        <f t="shared" si="49"/>
        <v>150</v>
      </c>
      <c r="S779">
        <f t="shared" si="48"/>
        <v>0</v>
      </c>
      <c r="T779" t="str">
        <f t="shared" si="50"/>
        <v>Sufficient Stock</v>
      </c>
    </row>
    <row r="780" spans="1:20" x14ac:dyDescent="0.3">
      <c r="A780" t="s">
        <v>2817</v>
      </c>
      <c r="B780" t="s">
        <v>612</v>
      </c>
      <c r="C780" t="s">
        <v>64</v>
      </c>
      <c r="D780" t="s">
        <v>2818</v>
      </c>
      <c r="E780" t="s">
        <v>313</v>
      </c>
      <c r="F780">
        <v>48</v>
      </c>
      <c r="G780">
        <v>12</v>
      </c>
      <c r="H780">
        <v>62</v>
      </c>
      <c r="I780" s="1">
        <v>7</v>
      </c>
      <c r="J780" s="2">
        <v>45458</v>
      </c>
      <c r="K780" s="2">
        <v>45416</v>
      </c>
      <c r="L780" s="2">
        <v>45554</v>
      </c>
      <c r="M780" t="s">
        <v>2819</v>
      </c>
      <c r="N780">
        <v>59</v>
      </c>
      <c r="O780">
        <v>23</v>
      </c>
      <c r="P780" t="s">
        <v>44</v>
      </c>
      <c r="Q780" t="str">
        <f t="shared" si="51"/>
        <v>Last Order before Received</v>
      </c>
      <c r="R780" s="3">
        <f t="shared" si="49"/>
        <v>336</v>
      </c>
      <c r="S780">
        <f t="shared" si="48"/>
        <v>0</v>
      </c>
      <c r="T780" t="str">
        <f t="shared" si="50"/>
        <v>Sufficient Stock</v>
      </c>
    </row>
    <row r="781" spans="1:20" x14ac:dyDescent="0.3">
      <c r="A781" t="s">
        <v>2820</v>
      </c>
      <c r="B781" t="s">
        <v>201</v>
      </c>
      <c r="C781" t="s">
        <v>47</v>
      </c>
      <c r="D781" t="s">
        <v>2821</v>
      </c>
      <c r="E781" t="s">
        <v>1669</v>
      </c>
      <c r="F781">
        <v>50</v>
      </c>
      <c r="G781">
        <v>68</v>
      </c>
      <c r="H781">
        <v>90</v>
      </c>
      <c r="I781" s="1">
        <v>2</v>
      </c>
      <c r="J781" s="2">
        <v>45638</v>
      </c>
      <c r="K781" s="2">
        <v>45421</v>
      </c>
      <c r="L781" s="2">
        <v>45448</v>
      </c>
      <c r="M781" t="s">
        <v>2822</v>
      </c>
      <c r="N781">
        <v>40</v>
      </c>
      <c r="O781">
        <v>13</v>
      </c>
      <c r="P781" t="s">
        <v>26</v>
      </c>
      <c r="Q781" t="str">
        <f t="shared" si="51"/>
        <v>Expiry before Received</v>
      </c>
      <c r="R781" s="3">
        <f t="shared" si="49"/>
        <v>100</v>
      </c>
      <c r="S781">
        <f t="shared" si="48"/>
        <v>18</v>
      </c>
      <c r="T781" t="str">
        <f t="shared" si="50"/>
        <v>Reorder Required</v>
      </c>
    </row>
    <row r="782" spans="1:20" x14ac:dyDescent="0.3">
      <c r="A782" t="s">
        <v>2823</v>
      </c>
      <c r="B782" t="s">
        <v>196</v>
      </c>
      <c r="C782" t="s">
        <v>132</v>
      </c>
      <c r="D782" t="s">
        <v>2824</v>
      </c>
      <c r="E782" t="s">
        <v>356</v>
      </c>
      <c r="F782">
        <v>11</v>
      </c>
      <c r="G782">
        <v>87</v>
      </c>
      <c r="H782">
        <v>43</v>
      </c>
      <c r="I782" s="1">
        <v>9</v>
      </c>
      <c r="J782" s="2">
        <v>45659</v>
      </c>
      <c r="K782" s="2">
        <v>45449</v>
      </c>
      <c r="L782" s="2">
        <v>45697</v>
      </c>
      <c r="M782" t="s">
        <v>2825</v>
      </c>
      <c r="N782">
        <v>86</v>
      </c>
      <c r="O782">
        <v>91</v>
      </c>
      <c r="P782" t="s">
        <v>44</v>
      </c>
      <c r="Q782" t="str">
        <f t="shared" si="51"/>
        <v>Last Order before Received</v>
      </c>
      <c r="R782" s="3">
        <f t="shared" si="49"/>
        <v>99</v>
      </c>
      <c r="S782">
        <f t="shared" si="48"/>
        <v>76</v>
      </c>
      <c r="T782" t="str">
        <f t="shared" si="50"/>
        <v>Reorder Required</v>
      </c>
    </row>
    <row r="783" spans="1:20" x14ac:dyDescent="0.3">
      <c r="A783" t="s">
        <v>2826</v>
      </c>
      <c r="B783" t="s">
        <v>501</v>
      </c>
      <c r="C783" t="s">
        <v>22</v>
      </c>
      <c r="D783" t="s">
        <v>2827</v>
      </c>
      <c r="E783" t="s">
        <v>614</v>
      </c>
      <c r="F783">
        <v>74</v>
      </c>
      <c r="G783">
        <v>22</v>
      </c>
      <c r="H783">
        <v>91</v>
      </c>
      <c r="I783" s="1">
        <v>9.5</v>
      </c>
      <c r="J783" s="2">
        <v>45529</v>
      </c>
      <c r="K783" s="2">
        <v>45679</v>
      </c>
      <c r="L783" s="2">
        <v>45462</v>
      </c>
      <c r="M783" t="s">
        <v>2828</v>
      </c>
      <c r="N783">
        <v>24</v>
      </c>
      <c r="O783">
        <v>12</v>
      </c>
      <c r="P783" t="s">
        <v>44</v>
      </c>
      <c r="Q783" t="str">
        <f t="shared" si="51"/>
        <v>Expiry before Received</v>
      </c>
      <c r="R783" s="3">
        <f t="shared" si="49"/>
        <v>703</v>
      </c>
      <c r="S783">
        <f t="shared" si="48"/>
        <v>0</v>
      </c>
      <c r="T783" t="str">
        <f t="shared" si="50"/>
        <v>Sufficient Stock</v>
      </c>
    </row>
    <row r="784" spans="1:20" x14ac:dyDescent="0.3">
      <c r="A784" t="s">
        <v>2829</v>
      </c>
      <c r="B784" t="s">
        <v>1268</v>
      </c>
      <c r="C784" t="s">
        <v>47</v>
      </c>
      <c r="D784" t="s">
        <v>2830</v>
      </c>
      <c r="E784" t="s">
        <v>80</v>
      </c>
      <c r="F784">
        <v>11</v>
      </c>
      <c r="G784">
        <v>10</v>
      </c>
      <c r="H784">
        <v>60</v>
      </c>
      <c r="I784" s="1">
        <v>2.5</v>
      </c>
      <c r="J784" s="2">
        <v>45575</v>
      </c>
      <c r="K784" s="2">
        <v>45418</v>
      </c>
      <c r="L784" s="2">
        <v>45651</v>
      </c>
      <c r="M784" t="s">
        <v>2831</v>
      </c>
      <c r="N784">
        <v>93</v>
      </c>
      <c r="O784">
        <v>53</v>
      </c>
      <c r="P784" t="s">
        <v>26</v>
      </c>
      <c r="Q784" t="str">
        <f t="shared" si="51"/>
        <v>Last Order before Received</v>
      </c>
      <c r="R784" s="3">
        <f t="shared" si="49"/>
        <v>27.5</v>
      </c>
      <c r="S784">
        <f t="shared" si="48"/>
        <v>0</v>
      </c>
      <c r="T784" t="str">
        <f t="shared" si="50"/>
        <v>Sufficient Stock</v>
      </c>
    </row>
    <row r="785" spans="1:20" x14ac:dyDescent="0.3">
      <c r="A785" t="s">
        <v>2832</v>
      </c>
      <c r="B785" t="s">
        <v>363</v>
      </c>
      <c r="C785" t="s">
        <v>64</v>
      </c>
      <c r="D785" t="s">
        <v>2833</v>
      </c>
      <c r="E785" t="s">
        <v>2834</v>
      </c>
      <c r="F785">
        <v>85</v>
      </c>
      <c r="G785">
        <v>15</v>
      </c>
      <c r="H785">
        <v>30</v>
      </c>
      <c r="I785" s="1">
        <v>4</v>
      </c>
      <c r="J785" s="2">
        <v>45398</v>
      </c>
      <c r="K785" s="2">
        <v>45590</v>
      </c>
      <c r="L785" s="2">
        <v>45632</v>
      </c>
      <c r="M785" t="s">
        <v>2835</v>
      </c>
      <c r="N785">
        <v>95</v>
      </c>
      <c r="O785">
        <v>63</v>
      </c>
      <c r="P785" t="s">
        <v>44</v>
      </c>
      <c r="Q785" t="str">
        <f t="shared" si="51"/>
        <v>OK</v>
      </c>
      <c r="R785" s="3">
        <f t="shared" si="49"/>
        <v>340</v>
      </c>
      <c r="S785">
        <f t="shared" si="48"/>
        <v>0</v>
      </c>
      <c r="T785" t="str">
        <f t="shared" si="50"/>
        <v>Sufficient Stock</v>
      </c>
    </row>
    <row r="786" spans="1:20" x14ac:dyDescent="0.3">
      <c r="A786" t="s">
        <v>2836</v>
      </c>
      <c r="B786" t="s">
        <v>594</v>
      </c>
      <c r="C786" t="s">
        <v>47</v>
      </c>
      <c r="D786" t="s">
        <v>2837</v>
      </c>
      <c r="E786" t="s">
        <v>267</v>
      </c>
      <c r="F786">
        <v>57</v>
      </c>
      <c r="G786">
        <v>43</v>
      </c>
      <c r="H786">
        <v>46</v>
      </c>
      <c r="I786" s="1">
        <v>2.5</v>
      </c>
      <c r="J786" s="2">
        <v>45456</v>
      </c>
      <c r="K786" s="2">
        <v>45627</v>
      </c>
      <c r="L786" s="2">
        <v>45508</v>
      </c>
      <c r="M786" t="s">
        <v>2838</v>
      </c>
      <c r="N786">
        <v>87</v>
      </c>
      <c r="O786">
        <v>88</v>
      </c>
      <c r="P786" t="s">
        <v>26</v>
      </c>
      <c r="Q786" t="str">
        <f t="shared" si="51"/>
        <v>OK</v>
      </c>
      <c r="R786" s="3">
        <f t="shared" si="49"/>
        <v>142.5</v>
      </c>
      <c r="S786">
        <f t="shared" si="48"/>
        <v>0</v>
      </c>
      <c r="T786" t="str">
        <f t="shared" si="50"/>
        <v>Sufficient Stock</v>
      </c>
    </row>
    <row r="787" spans="1:20" x14ac:dyDescent="0.3">
      <c r="A787" t="s">
        <v>2839</v>
      </c>
      <c r="B787" t="s">
        <v>881</v>
      </c>
      <c r="C787" t="s">
        <v>47</v>
      </c>
      <c r="D787" t="s">
        <v>2840</v>
      </c>
      <c r="E787" t="s">
        <v>1202</v>
      </c>
      <c r="F787">
        <v>75</v>
      </c>
      <c r="G787">
        <v>56</v>
      </c>
      <c r="H787">
        <v>57</v>
      </c>
      <c r="I787" s="1">
        <v>1.9</v>
      </c>
      <c r="J787" s="2">
        <v>45592</v>
      </c>
      <c r="K787" s="2">
        <v>45590</v>
      </c>
      <c r="L787" s="2">
        <v>45554</v>
      </c>
      <c r="M787" t="s">
        <v>2841</v>
      </c>
      <c r="N787">
        <v>63</v>
      </c>
      <c r="O787">
        <v>64</v>
      </c>
      <c r="P787" t="s">
        <v>26</v>
      </c>
      <c r="Q787" t="str">
        <f t="shared" si="51"/>
        <v>Expiry before Received</v>
      </c>
      <c r="R787" s="3">
        <f t="shared" si="49"/>
        <v>142.5</v>
      </c>
      <c r="S787">
        <f t="shared" si="48"/>
        <v>0</v>
      </c>
      <c r="T787" t="str">
        <f t="shared" si="50"/>
        <v>Sufficient Stock</v>
      </c>
    </row>
    <row r="788" spans="1:20" x14ac:dyDescent="0.3">
      <c r="A788" t="s">
        <v>2842</v>
      </c>
      <c r="B788" t="s">
        <v>728</v>
      </c>
      <c r="C788" t="s">
        <v>64</v>
      </c>
      <c r="D788" t="s">
        <v>2843</v>
      </c>
      <c r="E788" t="s">
        <v>271</v>
      </c>
      <c r="F788">
        <v>63</v>
      </c>
      <c r="G788">
        <v>7</v>
      </c>
      <c r="H788">
        <v>23</v>
      </c>
      <c r="I788" s="1">
        <v>2.35</v>
      </c>
      <c r="J788" s="2">
        <v>45542</v>
      </c>
      <c r="K788" s="2">
        <v>45618</v>
      </c>
      <c r="L788" s="2">
        <v>45582</v>
      </c>
      <c r="M788" t="s">
        <v>2844</v>
      </c>
      <c r="N788">
        <v>78</v>
      </c>
      <c r="O788">
        <v>100</v>
      </c>
      <c r="P788" t="s">
        <v>44</v>
      </c>
      <c r="Q788" t="str">
        <f t="shared" si="51"/>
        <v>OK</v>
      </c>
      <c r="R788" s="3">
        <f t="shared" si="49"/>
        <v>148.05000000000001</v>
      </c>
      <c r="S788">
        <f t="shared" si="48"/>
        <v>0</v>
      </c>
      <c r="T788" t="str">
        <f t="shared" si="50"/>
        <v>Sufficient Stock</v>
      </c>
    </row>
    <row r="789" spans="1:20" x14ac:dyDescent="0.3">
      <c r="A789" t="s">
        <v>2845</v>
      </c>
      <c r="B789" t="s">
        <v>336</v>
      </c>
      <c r="C789" t="s">
        <v>29</v>
      </c>
      <c r="D789" t="s">
        <v>2846</v>
      </c>
      <c r="E789" t="s">
        <v>2847</v>
      </c>
      <c r="F789">
        <v>35</v>
      </c>
      <c r="G789">
        <v>20</v>
      </c>
      <c r="H789">
        <v>42</v>
      </c>
      <c r="I789" s="1">
        <v>25.25</v>
      </c>
      <c r="J789" s="2">
        <v>45473</v>
      </c>
      <c r="K789" s="2">
        <v>45509</v>
      </c>
      <c r="L789" s="2">
        <v>45665</v>
      </c>
      <c r="M789" t="s">
        <v>2848</v>
      </c>
      <c r="N789">
        <v>53</v>
      </c>
      <c r="O789">
        <v>56</v>
      </c>
      <c r="P789" t="s">
        <v>26</v>
      </c>
      <c r="Q789" t="str">
        <f t="shared" si="51"/>
        <v>OK</v>
      </c>
      <c r="R789" s="3">
        <f t="shared" si="49"/>
        <v>883.75</v>
      </c>
      <c r="S789">
        <f t="shared" si="48"/>
        <v>0</v>
      </c>
      <c r="T789" t="str">
        <f t="shared" si="50"/>
        <v>Sufficient Stock</v>
      </c>
    </row>
    <row r="790" spans="1:20" x14ac:dyDescent="0.3">
      <c r="A790" t="s">
        <v>2849</v>
      </c>
      <c r="B790" t="s">
        <v>142</v>
      </c>
      <c r="C790" t="s">
        <v>47</v>
      </c>
      <c r="D790" t="s">
        <v>2850</v>
      </c>
      <c r="E790" t="s">
        <v>2077</v>
      </c>
      <c r="F790">
        <v>24</v>
      </c>
      <c r="G790">
        <v>32</v>
      </c>
      <c r="H790">
        <v>17</v>
      </c>
      <c r="I790" s="1">
        <v>1</v>
      </c>
      <c r="J790" s="2">
        <v>45564</v>
      </c>
      <c r="K790" s="2">
        <v>45460</v>
      </c>
      <c r="L790" s="2">
        <v>45475</v>
      </c>
      <c r="M790" t="s">
        <v>2851</v>
      </c>
      <c r="N790">
        <v>55</v>
      </c>
      <c r="O790">
        <v>72</v>
      </c>
      <c r="P790" t="s">
        <v>26</v>
      </c>
      <c r="Q790" t="str">
        <f t="shared" si="51"/>
        <v>Expiry before Received</v>
      </c>
      <c r="R790" s="3">
        <f t="shared" si="49"/>
        <v>24</v>
      </c>
      <c r="S790">
        <f t="shared" si="48"/>
        <v>8</v>
      </c>
      <c r="T790" t="str">
        <f t="shared" si="50"/>
        <v>Reorder Required</v>
      </c>
    </row>
    <row r="791" spans="1:20" x14ac:dyDescent="0.3">
      <c r="A791" t="s">
        <v>2852</v>
      </c>
      <c r="B791" t="s">
        <v>467</v>
      </c>
      <c r="C791" t="s">
        <v>22</v>
      </c>
      <c r="D791" t="s">
        <v>2853</v>
      </c>
      <c r="E791" t="s">
        <v>2646</v>
      </c>
      <c r="F791">
        <v>53</v>
      </c>
      <c r="G791">
        <v>26</v>
      </c>
      <c r="H791">
        <v>3</v>
      </c>
      <c r="I791" s="1">
        <v>4.75</v>
      </c>
      <c r="J791" s="2">
        <v>45353</v>
      </c>
      <c r="K791" s="2">
        <v>45477</v>
      </c>
      <c r="L791" s="2">
        <v>45357</v>
      </c>
      <c r="M791" t="s">
        <v>2854</v>
      </c>
      <c r="N791">
        <v>100</v>
      </c>
      <c r="O791">
        <v>94</v>
      </c>
      <c r="P791" t="s">
        <v>44</v>
      </c>
      <c r="Q791" t="str">
        <f t="shared" si="51"/>
        <v>OK</v>
      </c>
      <c r="R791" s="3">
        <f t="shared" si="49"/>
        <v>251.75</v>
      </c>
      <c r="S791">
        <f t="shared" si="48"/>
        <v>0</v>
      </c>
      <c r="T791" t="str">
        <f t="shared" si="50"/>
        <v>Sufficient Stock</v>
      </c>
    </row>
    <row r="792" spans="1:20" x14ac:dyDescent="0.3">
      <c r="A792" t="s">
        <v>2855</v>
      </c>
      <c r="B792" t="s">
        <v>397</v>
      </c>
      <c r="C792" t="s">
        <v>89</v>
      </c>
      <c r="D792" t="s">
        <v>2856</v>
      </c>
      <c r="E792" t="s">
        <v>1131</v>
      </c>
      <c r="F792">
        <v>74</v>
      </c>
      <c r="G792">
        <v>81</v>
      </c>
      <c r="H792">
        <v>41</v>
      </c>
      <c r="I792" s="1">
        <v>6</v>
      </c>
      <c r="J792" s="2">
        <v>45693</v>
      </c>
      <c r="K792" s="2">
        <v>45414</v>
      </c>
      <c r="L792" s="2">
        <v>45439</v>
      </c>
      <c r="M792" t="s">
        <v>2857</v>
      </c>
      <c r="N792">
        <v>51</v>
      </c>
      <c r="O792">
        <v>67</v>
      </c>
      <c r="P792" t="s">
        <v>44</v>
      </c>
      <c r="Q792" t="str">
        <f t="shared" si="51"/>
        <v>Expiry before Received</v>
      </c>
      <c r="R792" s="3">
        <f t="shared" si="49"/>
        <v>444</v>
      </c>
      <c r="S792">
        <f t="shared" si="48"/>
        <v>7</v>
      </c>
      <c r="T792" t="str">
        <f t="shared" si="50"/>
        <v>Reorder Required</v>
      </c>
    </row>
    <row r="793" spans="1:20" x14ac:dyDescent="0.3">
      <c r="A793" t="s">
        <v>2858</v>
      </c>
      <c r="B793" t="s">
        <v>1145</v>
      </c>
      <c r="C793" t="s">
        <v>22</v>
      </c>
      <c r="D793" t="s">
        <v>2859</v>
      </c>
      <c r="E793" t="s">
        <v>962</v>
      </c>
      <c r="F793">
        <v>79</v>
      </c>
      <c r="G793">
        <v>38</v>
      </c>
      <c r="H793">
        <v>67</v>
      </c>
      <c r="I793" s="1">
        <v>2.5</v>
      </c>
      <c r="J793" s="2">
        <v>45478</v>
      </c>
      <c r="K793" s="2">
        <v>45573</v>
      </c>
      <c r="L793" s="2">
        <v>45536</v>
      </c>
      <c r="M793" t="s">
        <v>2860</v>
      </c>
      <c r="N793">
        <v>43</v>
      </c>
      <c r="O793">
        <v>93</v>
      </c>
      <c r="P793" t="s">
        <v>26</v>
      </c>
      <c r="Q793" t="str">
        <f t="shared" si="51"/>
        <v>OK</v>
      </c>
      <c r="R793" s="3">
        <f t="shared" si="49"/>
        <v>197.5</v>
      </c>
      <c r="S793">
        <f t="shared" si="48"/>
        <v>0</v>
      </c>
      <c r="T793" t="str">
        <f t="shared" si="50"/>
        <v>Sufficient Stock</v>
      </c>
    </row>
    <row r="794" spans="1:20" x14ac:dyDescent="0.3">
      <c r="A794" t="s">
        <v>2861</v>
      </c>
      <c r="B794" t="s">
        <v>108</v>
      </c>
      <c r="C794" t="s">
        <v>22</v>
      </c>
      <c r="D794" t="s">
        <v>2862</v>
      </c>
      <c r="E794" t="s">
        <v>346</v>
      </c>
      <c r="F794">
        <v>54</v>
      </c>
      <c r="G794">
        <v>78</v>
      </c>
      <c r="H794">
        <v>81</v>
      </c>
      <c r="I794" s="1">
        <v>1.5</v>
      </c>
      <c r="J794" s="2">
        <v>45414</v>
      </c>
      <c r="K794" s="2">
        <v>45619</v>
      </c>
      <c r="L794" s="2">
        <v>45478</v>
      </c>
      <c r="M794" t="s">
        <v>2863</v>
      </c>
      <c r="N794">
        <v>41</v>
      </c>
      <c r="O794">
        <v>63</v>
      </c>
      <c r="P794" t="s">
        <v>38</v>
      </c>
      <c r="Q794" t="str">
        <f t="shared" si="51"/>
        <v>OK</v>
      </c>
      <c r="R794" s="3">
        <f t="shared" si="49"/>
        <v>81</v>
      </c>
      <c r="S794">
        <f t="shared" si="48"/>
        <v>24</v>
      </c>
      <c r="T794" t="str">
        <f t="shared" si="50"/>
        <v>Reorder Required</v>
      </c>
    </row>
    <row r="795" spans="1:20" x14ac:dyDescent="0.3">
      <c r="A795" t="s">
        <v>2864</v>
      </c>
      <c r="B795" t="s">
        <v>455</v>
      </c>
      <c r="C795" t="s">
        <v>58</v>
      </c>
      <c r="D795" t="s">
        <v>2865</v>
      </c>
      <c r="E795" t="s">
        <v>2866</v>
      </c>
      <c r="F795">
        <v>44</v>
      </c>
      <c r="G795">
        <v>83</v>
      </c>
      <c r="H795">
        <v>78</v>
      </c>
      <c r="I795" s="1">
        <v>1.8</v>
      </c>
      <c r="J795" s="2">
        <v>45481</v>
      </c>
      <c r="K795" s="2">
        <v>45664</v>
      </c>
      <c r="L795" s="2">
        <v>45524</v>
      </c>
      <c r="M795" t="s">
        <v>2867</v>
      </c>
      <c r="N795">
        <v>46</v>
      </c>
      <c r="O795">
        <v>4</v>
      </c>
      <c r="P795" t="s">
        <v>26</v>
      </c>
      <c r="Q795" t="str">
        <f t="shared" si="51"/>
        <v>OK</v>
      </c>
      <c r="R795" s="3">
        <f t="shared" si="49"/>
        <v>79.2</v>
      </c>
      <c r="S795">
        <f t="shared" si="48"/>
        <v>39</v>
      </c>
      <c r="T795" t="str">
        <f t="shared" si="50"/>
        <v>Reorder Required</v>
      </c>
    </row>
    <row r="796" spans="1:20" x14ac:dyDescent="0.3">
      <c r="A796" t="s">
        <v>2868</v>
      </c>
      <c r="B796" t="s">
        <v>501</v>
      </c>
      <c r="C796" t="s">
        <v>22</v>
      </c>
      <c r="D796" t="s">
        <v>2869</v>
      </c>
      <c r="E796" t="s">
        <v>1439</v>
      </c>
      <c r="F796">
        <v>77</v>
      </c>
      <c r="G796">
        <v>19</v>
      </c>
      <c r="H796">
        <v>31</v>
      </c>
      <c r="I796" s="1">
        <v>9.5</v>
      </c>
      <c r="J796" s="2">
        <v>45594</v>
      </c>
      <c r="K796" s="2">
        <v>45680</v>
      </c>
      <c r="L796" s="2">
        <v>45371</v>
      </c>
      <c r="M796" t="s">
        <v>2870</v>
      </c>
      <c r="N796">
        <v>27</v>
      </c>
      <c r="O796">
        <v>25</v>
      </c>
      <c r="P796" t="s">
        <v>38</v>
      </c>
      <c r="Q796" t="str">
        <f t="shared" si="51"/>
        <v>Expiry before Received</v>
      </c>
      <c r="R796" s="3">
        <f t="shared" si="49"/>
        <v>731.5</v>
      </c>
      <c r="S796">
        <f t="shared" si="48"/>
        <v>0</v>
      </c>
      <c r="T796" t="str">
        <f t="shared" si="50"/>
        <v>Sufficient Stock</v>
      </c>
    </row>
    <row r="797" spans="1:20" x14ac:dyDescent="0.3">
      <c r="A797" t="s">
        <v>2871</v>
      </c>
      <c r="B797" t="s">
        <v>1184</v>
      </c>
      <c r="C797" t="s">
        <v>47</v>
      </c>
      <c r="D797" t="s">
        <v>2872</v>
      </c>
      <c r="E797" t="s">
        <v>1127</v>
      </c>
      <c r="F797">
        <v>42</v>
      </c>
      <c r="G797">
        <v>61</v>
      </c>
      <c r="H797">
        <v>52</v>
      </c>
      <c r="I797" s="1">
        <v>5</v>
      </c>
      <c r="J797" s="2">
        <v>45628</v>
      </c>
      <c r="K797" s="2">
        <v>45688</v>
      </c>
      <c r="L797" s="2">
        <v>45564</v>
      </c>
      <c r="M797" t="s">
        <v>2873</v>
      </c>
      <c r="N797">
        <v>86</v>
      </c>
      <c r="O797">
        <v>99</v>
      </c>
      <c r="P797" t="s">
        <v>38</v>
      </c>
      <c r="Q797" t="str">
        <f t="shared" si="51"/>
        <v>Expiry before Received</v>
      </c>
      <c r="R797" s="3">
        <f t="shared" si="49"/>
        <v>210</v>
      </c>
      <c r="S797">
        <f t="shared" si="48"/>
        <v>19</v>
      </c>
      <c r="T797" t="str">
        <f t="shared" si="50"/>
        <v>Reorder Required</v>
      </c>
    </row>
    <row r="798" spans="1:20" x14ac:dyDescent="0.3">
      <c r="A798" t="s">
        <v>2874</v>
      </c>
      <c r="B798" t="s">
        <v>1531</v>
      </c>
      <c r="C798" t="s">
        <v>47</v>
      </c>
      <c r="D798" t="s">
        <v>2875</v>
      </c>
      <c r="E798" t="s">
        <v>943</v>
      </c>
      <c r="F798">
        <v>44</v>
      </c>
      <c r="G798">
        <v>77</v>
      </c>
      <c r="H798">
        <v>45</v>
      </c>
      <c r="I798" s="1">
        <v>2</v>
      </c>
      <c r="J798" s="2">
        <v>45500</v>
      </c>
      <c r="K798" s="2">
        <v>45465</v>
      </c>
      <c r="L798" s="2">
        <v>45436</v>
      </c>
      <c r="M798" t="s">
        <v>2876</v>
      </c>
      <c r="N798">
        <v>89</v>
      </c>
      <c r="O798">
        <v>64</v>
      </c>
      <c r="P798" t="s">
        <v>26</v>
      </c>
      <c r="Q798" t="str">
        <f t="shared" si="51"/>
        <v>Expiry before Received</v>
      </c>
      <c r="R798" s="3">
        <f t="shared" si="49"/>
        <v>88</v>
      </c>
      <c r="S798">
        <f t="shared" si="48"/>
        <v>33</v>
      </c>
      <c r="T798" t="str">
        <f t="shared" si="50"/>
        <v>Reorder Required</v>
      </c>
    </row>
    <row r="799" spans="1:20" x14ac:dyDescent="0.3">
      <c r="A799" t="s">
        <v>2877</v>
      </c>
      <c r="B799" t="s">
        <v>645</v>
      </c>
      <c r="C799" t="s">
        <v>64</v>
      </c>
      <c r="D799" t="s">
        <v>2878</v>
      </c>
      <c r="E799" t="s">
        <v>351</v>
      </c>
      <c r="F799">
        <v>81</v>
      </c>
      <c r="G799">
        <v>76</v>
      </c>
      <c r="H799">
        <v>10</v>
      </c>
      <c r="I799" s="1">
        <v>4</v>
      </c>
      <c r="J799" s="2">
        <v>45425</v>
      </c>
      <c r="K799" s="2">
        <v>45439</v>
      </c>
      <c r="L799" s="2">
        <v>45644</v>
      </c>
      <c r="M799" t="s">
        <v>2879</v>
      </c>
      <c r="N799">
        <v>68</v>
      </c>
      <c r="O799">
        <v>100</v>
      </c>
      <c r="P799" t="s">
        <v>38</v>
      </c>
      <c r="Q799" t="str">
        <f t="shared" si="51"/>
        <v>OK</v>
      </c>
      <c r="R799" s="3">
        <f t="shared" si="49"/>
        <v>324</v>
      </c>
      <c r="S799">
        <f t="shared" si="48"/>
        <v>0</v>
      </c>
      <c r="T799" t="str">
        <f t="shared" si="50"/>
        <v>Sufficient Stock</v>
      </c>
    </row>
    <row r="800" spans="1:20" x14ac:dyDescent="0.3">
      <c r="A800" t="s">
        <v>2880</v>
      </c>
      <c r="B800" t="s">
        <v>34</v>
      </c>
      <c r="C800" t="s">
        <v>22</v>
      </c>
      <c r="D800" t="s">
        <v>2881</v>
      </c>
      <c r="E800" t="s">
        <v>817</v>
      </c>
      <c r="F800">
        <v>92</v>
      </c>
      <c r="G800">
        <v>48</v>
      </c>
      <c r="H800">
        <v>22</v>
      </c>
      <c r="I800" s="1">
        <v>6.25</v>
      </c>
      <c r="J800" s="2">
        <v>45625</v>
      </c>
      <c r="K800" s="2">
        <v>45627</v>
      </c>
      <c r="L800" s="2">
        <v>45677</v>
      </c>
      <c r="M800" t="s">
        <v>2882</v>
      </c>
      <c r="N800">
        <v>38</v>
      </c>
      <c r="O800">
        <v>61</v>
      </c>
      <c r="P800" t="s">
        <v>38</v>
      </c>
      <c r="Q800" t="str">
        <f t="shared" si="51"/>
        <v>OK</v>
      </c>
      <c r="R800" s="3">
        <f t="shared" si="49"/>
        <v>575</v>
      </c>
      <c r="S800">
        <f t="shared" si="48"/>
        <v>0</v>
      </c>
      <c r="T800" t="str">
        <f t="shared" si="50"/>
        <v>Sufficient Stock</v>
      </c>
    </row>
    <row r="801" spans="1:20" x14ac:dyDescent="0.3">
      <c r="A801" t="s">
        <v>2883</v>
      </c>
      <c r="B801" t="s">
        <v>1479</v>
      </c>
      <c r="C801" t="s">
        <v>132</v>
      </c>
      <c r="D801" t="s">
        <v>2884</v>
      </c>
      <c r="E801" t="s">
        <v>1735</v>
      </c>
      <c r="F801">
        <v>78</v>
      </c>
      <c r="G801">
        <v>68</v>
      </c>
      <c r="H801">
        <v>86</v>
      </c>
      <c r="I801" s="1">
        <v>15</v>
      </c>
      <c r="J801" s="2">
        <v>45376</v>
      </c>
      <c r="K801" s="2">
        <v>45371</v>
      </c>
      <c r="L801" s="2">
        <v>45654</v>
      </c>
      <c r="M801" t="s">
        <v>2885</v>
      </c>
      <c r="N801">
        <v>47</v>
      </c>
      <c r="O801">
        <v>95</v>
      </c>
      <c r="P801" t="s">
        <v>26</v>
      </c>
      <c r="Q801" t="str">
        <f t="shared" si="51"/>
        <v>Last Order before Received</v>
      </c>
      <c r="R801" s="3">
        <f t="shared" si="49"/>
        <v>1170</v>
      </c>
      <c r="S801">
        <f t="shared" si="48"/>
        <v>0</v>
      </c>
      <c r="T801" t="str">
        <f t="shared" si="50"/>
        <v>Sufficient Stock</v>
      </c>
    </row>
    <row r="802" spans="1:20" x14ac:dyDescent="0.3">
      <c r="A802" t="s">
        <v>2886</v>
      </c>
      <c r="B802" t="s">
        <v>363</v>
      </c>
      <c r="C802" t="s">
        <v>64</v>
      </c>
      <c r="D802" t="s">
        <v>2887</v>
      </c>
      <c r="E802" t="s">
        <v>943</v>
      </c>
      <c r="F802">
        <v>85</v>
      </c>
      <c r="G802">
        <v>66</v>
      </c>
      <c r="H802">
        <v>85</v>
      </c>
      <c r="I802" s="1">
        <v>4.2</v>
      </c>
      <c r="J802" s="2">
        <v>45663</v>
      </c>
      <c r="K802" s="2">
        <v>45596</v>
      </c>
      <c r="L802" s="2">
        <v>45544</v>
      </c>
      <c r="M802" t="s">
        <v>2888</v>
      </c>
      <c r="N802">
        <v>65</v>
      </c>
      <c r="O802">
        <v>58</v>
      </c>
      <c r="P802" t="s">
        <v>26</v>
      </c>
      <c r="Q802" t="str">
        <f t="shared" si="51"/>
        <v>Expiry before Received</v>
      </c>
      <c r="R802" s="3">
        <f t="shared" si="49"/>
        <v>357</v>
      </c>
      <c r="S802">
        <f t="shared" si="48"/>
        <v>0</v>
      </c>
      <c r="T802" t="str">
        <f t="shared" si="50"/>
        <v>Sufficient Stock</v>
      </c>
    </row>
    <row r="803" spans="1:20" x14ac:dyDescent="0.3">
      <c r="A803" t="s">
        <v>2889</v>
      </c>
      <c r="B803" t="s">
        <v>545</v>
      </c>
      <c r="C803" t="s">
        <v>47</v>
      </c>
      <c r="D803" t="s">
        <v>2890</v>
      </c>
      <c r="E803" t="s">
        <v>2639</v>
      </c>
      <c r="F803">
        <v>65</v>
      </c>
      <c r="G803">
        <v>69</v>
      </c>
      <c r="H803">
        <v>4</v>
      </c>
      <c r="I803" s="1">
        <v>6</v>
      </c>
      <c r="J803" s="2">
        <v>45518</v>
      </c>
      <c r="K803" s="2">
        <v>45458</v>
      </c>
      <c r="L803" s="2">
        <v>45578</v>
      </c>
      <c r="M803" t="s">
        <v>2891</v>
      </c>
      <c r="N803">
        <v>80</v>
      </c>
      <c r="O803">
        <v>26</v>
      </c>
      <c r="P803" t="s">
        <v>44</v>
      </c>
      <c r="Q803" t="str">
        <f t="shared" si="51"/>
        <v>Last Order before Received</v>
      </c>
      <c r="R803" s="3">
        <f t="shared" si="49"/>
        <v>390</v>
      </c>
      <c r="S803">
        <f t="shared" si="48"/>
        <v>4</v>
      </c>
      <c r="T803" t="str">
        <f t="shared" si="50"/>
        <v>Reorder Required</v>
      </c>
    </row>
    <row r="804" spans="1:20" x14ac:dyDescent="0.3">
      <c r="A804" t="s">
        <v>2892</v>
      </c>
      <c r="B804" t="s">
        <v>186</v>
      </c>
      <c r="C804" t="s">
        <v>58</v>
      </c>
      <c r="D804" t="s">
        <v>2893</v>
      </c>
      <c r="E804" t="s">
        <v>1465</v>
      </c>
      <c r="F804">
        <v>36</v>
      </c>
      <c r="G804">
        <v>3</v>
      </c>
      <c r="H804">
        <v>54</v>
      </c>
      <c r="I804" s="1">
        <v>6</v>
      </c>
      <c r="J804" s="2">
        <v>45354</v>
      </c>
      <c r="K804" s="2">
        <v>45456</v>
      </c>
      <c r="L804" s="2">
        <v>45639</v>
      </c>
      <c r="M804" t="s">
        <v>2894</v>
      </c>
      <c r="N804">
        <v>74</v>
      </c>
      <c r="O804">
        <v>8</v>
      </c>
      <c r="P804" t="s">
        <v>26</v>
      </c>
      <c r="Q804" t="str">
        <f t="shared" si="51"/>
        <v>OK</v>
      </c>
      <c r="R804" s="3">
        <f t="shared" si="49"/>
        <v>216</v>
      </c>
      <c r="S804">
        <f t="shared" si="48"/>
        <v>0</v>
      </c>
      <c r="T804" t="str">
        <f t="shared" si="50"/>
        <v>Sufficient Stock</v>
      </c>
    </row>
    <row r="805" spans="1:20" x14ac:dyDescent="0.3">
      <c r="A805" t="s">
        <v>2895</v>
      </c>
      <c r="B805" t="s">
        <v>389</v>
      </c>
      <c r="C805" t="s">
        <v>47</v>
      </c>
      <c r="D805" t="s">
        <v>2896</v>
      </c>
      <c r="E805" t="s">
        <v>2897</v>
      </c>
      <c r="F805">
        <v>26</v>
      </c>
      <c r="G805">
        <v>63</v>
      </c>
      <c r="H805">
        <v>88</v>
      </c>
      <c r="I805" s="1">
        <v>1.2</v>
      </c>
      <c r="J805" s="2">
        <v>45421</v>
      </c>
      <c r="K805" s="2">
        <v>45351</v>
      </c>
      <c r="L805" s="2">
        <v>45436</v>
      </c>
      <c r="M805" t="s">
        <v>2898</v>
      </c>
      <c r="N805">
        <v>84</v>
      </c>
      <c r="O805">
        <v>70</v>
      </c>
      <c r="P805" t="s">
        <v>44</v>
      </c>
      <c r="Q805" t="str">
        <f t="shared" si="51"/>
        <v>Last Order before Received</v>
      </c>
      <c r="R805" s="3">
        <f t="shared" si="49"/>
        <v>31.2</v>
      </c>
      <c r="S805">
        <f t="shared" si="48"/>
        <v>37</v>
      </c>
      <c r="T805" t="str">
        <f t="shared" si="50"/>
        <v>Reorder Required</v>
      </c>
    </row>
    <row r="806" spans="1:20" x14ac:dyDescent="0.3">
      <c r="A806" t="s">
        <v>2899</v>
      </c>
      <c r="B806" t="s">
        <v>864</v>
      </c>
      <c r="C806" t="s">
        <v>58</v>
      </c>
      <c r="D806" t="s">
        <v>2900</v>
      </c>
      <c r="E806" t="s">
        <v>1279</v>
      </c>
      <c r="F806">
        <v>39</v>
      </c>
      <c r="G806">
        <v>13</v>
      </c>
      <c r="H806">
        <v>13</v>
      </c>
      <c r="I806" s="1">
        <v>2.5</v>
      </c>
      <c r="J806" s="2">
        <v>45548</v>
      </c>
      <c r="K806" s="2">
        <v>45707</v>
      </c>
      <c r="L806" s="2">
        <v>45365</v>
      </c>
      <c r="M806" t="s">
        <v>2901</v>
      </c>
      <c r="N806">
        <v>84</v>
      </c>
      <c r="O806">
        <v>93</v>
      </c>
      <c r="P806" t="s">
        <v>44</v>
      </c>
      <c r="Q806" t="str">
        <f t="shared" si="51"/>
        <v>Expiry before Received</v>
      </c>
      <c r="R806" s="3">
        <f t="shared" si="49"/>
        <v>97.5</v>
      </c>
      <c r="S806">
        <f t="shared" si="48"/>
        <v>0</v>
      </c>
      <c r="T806" t="str">
        <f t="shared" si="50"/>
        <v>Sufficient Stock</v>
      </c>
    </row>
    <row r="807" spans="1:20" x14ac:dyDescent="0.3">
      <c r="A807" t="s">
        <v>2902</v>
      </c>
      <c r="B807" t="s">
        <v>83</v>
      </c>
      <c r="C807" t="s">
        <v>22</v>
      </c>
      <c r="D807" t="s">
        <v>2903</v>
      </c>
      <c r="E807" t="s">
        <v>2141</v>
      </c>
      <c r="F807">
        <v>39</v>
      </c>
      <c r="G807">
        <v>83</v>
      </c>
      <c r="H807">
        <v>21</v>
      </c>
      <c r="I807" s="1">
        <v>2</v>
      </c>
      <c r="J807" s="2">
        <v>45657</v>
      </c>
      <c r="K807" s="2">
        <v>45405</v>
      </c>
      <c r="L807" s="2">
        <v>45394</v>
      </c>
      <c r="M807" t="s">
        <v>2904</v>
      </c>
      <c r="N807">
        <v>73</v>
      </c>
      <c r="O807">
        <v>88</v>
      </c>
      <c r="P807" t="s">
        <v>44</v>
      </c>
      <c r="Q807" t="str">
        <f t="shared" si="51"/>
        <v>Expiry before Received</v>
      </c>
      <c r="R807" s="3">
        <f t="shared" si="49"/>
        <v>78</v>
      </c>
      <c r="S807">
        <f t="shared" si="48"/>
        <v>44</v>
      </c>
      <c r="T807" t="str">
        <f t="shared" si="50"/>
        <v>Reorder Required</v>
      </c>
    </row>
    <row r="808" spans="1:20" x14ac:dyDescent="0.3">
      <c r="A808" t="s">
        <v>2905</v>
      </c>
      <c r="B808" t="s">
        <v>142</v>
      </c>
      <c r="C808" t="s">
        <v>47</v>
      </c>
      <c r="D808" t="s">
        <v>2906</v>
      </c>
      <c r="E808" t="s">
        <v>226</v>
      </c>
      <c r="F808">
        <v>83</v>
      </c>
      <c r="G808">
        <v>61</v>
      </c>
      <c r="H808">
        <v>4</v>
      </c>
      <c r="I808" s="1">
        <v>1</v>
      </c>
      <c r="J808" s="2">
        <v>45551</v>
      </c>
      <c r="K808" s="2">
        <v>45601</v>
      </c>
      <c r="L808" s="2">
        <v>45589</v>
      </c>
      <c r="M808" t="s">
        <v>2907</v>
      </c>
      <c r="N808">
        <v>35</v>
      </c>
      <c r="O808">
        <v>7</v>
      </c>
      <c r="P808" t="s">
        <v>38</v>
      </c>
      <c r="Q808" t="str">
        <f t="shared" si="51"/>
        <v>OK</v>
      </c>
      <c r="R808" s="3">
        <f t="shared" si="49"/>
        <v>83</v>
      </c>
      <c r="S808">
        <f t="shared" si="48"/>
        <v>0</v>
      </c>
      <c r="T808" t="str">
        <f t="shared" si="50"/>
        <v>Sufficient Stock</v>
      </c>
    </row>
    <row r="809" spans="1:20" x14ac:dyDescent="0.3">
      <c r="A809" t="s">
        <v>2908</v>
      </c>
      <c r="B809" t="s">
        <v>176</v>
      </c>
      <c r="C809" t="s">
        <v>47</v>
      </c>
      <c r="D809" t="s">
        <v>2909</v>
      </c>
      <c r="E809" t="s">
        <v>2180</v>
      </c>
      <c r="F809">
        <v>28</v>
      </c>
      <c r="G809">
        <v>5</v>
      </c>
      <c r="H809">
        <v>9</v>
      </c>
      <c r="I809" s="1">
        <v>1.8</v>
      </c>
      <c r="J809" s="2">
        <v>45673</v>
      </c>
      <c r="K809" s="2">
        <v>45673</v>
      </c>
      <c r="L809" s="2">
        <v>45355</v>
      </c>
      <c r="M809" t="s">
        <v>2910</v>
      </c>
      <c r="N809">
        <v>33</v>
      </c>
      <c r="O809">
        <v>9</v>
      </c>
      <c r="P809" t="s">
        <v>26</v>
      </c>
      <c r="Q809" t="str">
        <f t="shared" si="51"/>
        <v>Expiry before Received</v>
      </c>
      <c r="R809" s="3">
        <f t="shared" si="49"/>
        <v>50.4</v>
      </c>
      <c r="S809">
        <f t="shared" si="48"/>
        <v>0</v>
      </c>
      <c r="T809" t="str">
        <f t="shared" si="50"/>
        <v>Sufficient Stock</v>
      </c>
    </row>
    <row r="810" spans="1:20" x14ac:dyDescent="0.3">
      <c r="A810" t="s">
        <v>2911</v>
      </c>
      <c r="B810" t="s">
        <v>624</v>
      </c>
      <c r="C810" t="s">
        <v>132</v>
      </c>
      <c r="D810" t="s">
        <v>2912</v>
      </c>
      <c r="E810" t="s">
        <v>1465</v>
      </c>
      <c r="F810">
        <v>85</v>
      </c>
      <c r="G810">
        <v>17</v>
      </c>
      <c r="H810">
        <v>96</v>
      </c>
      <c r="I810" s="1">
        <v>18</v>
      </c>
      <c r="J810" s="2">
        <v>45601</v>
      </c>
      <c r="K810" s="2">
        <v>45475</v>
      </c>
      <c r="L810" s="2">
        <v>45390</v>
      </c>
      <c r="M810" t="s">
        <v>2913</v>
      </c>
      <c r="N810">
        <v>92</v>
      </c>
      <c r="O810">
        <v>34</v>
      </c>
      <c r="P810" t="s">
        <v>26</v>
      </c>
      <c r="Q810" t="str">
        <f t="shared" si="51"/>
        <v>Expiry before Received</v>
      </c>
      <c r="R810" s="3">
        <f t="shared" si="49"/>
        <v>1530</v>
      </c>
      <c r="S810">
        <f t="shared" si="48"/>
        <v>0</v>
      </c>
      <c r="T810" t="str">
        <f t="shared" si="50"/>
        <v>Sufficient Stock</v>
      </c>
    </row>
    <row r="811" spans="1:20" x14ac:dyDescent="0.3">
      <c r="A811" t="s">
        <v>2914</v>
      </c>
      <c r="B811" t="s">
        <v>881</v>
      </c>
      <c r="C811" t="s">
        <v>47</v>
      </c>
      <c r="D811" t="s">
        <v>2915</v>
      </c>
      <c r="E811" t="s">
        <v>1078</v>
      </c>
      <c r="F811">
        <v>76</v>
      </c>
      <c r="G811">
        <v>39</v>
      </c>
      <c r="H811">
        <v>15</v>
      </c>
      <c r="I811" s="1">
        <v>2</v>
      </c>
      <c r="J811" s="2">
        <v>45632</v>
      </c>
      <c r="K811" s="2">
        <v>45466</v>
      </c>
      <c r="L811" s="2">
        <v>45520</v>
      </c>
      <c r="M811" t="s">
        <v>2916</v>
      </c>
      <c r="N811">
        <v>77</v>
      </c>
      <c r="O811">
        <v>70</v>
      </c>
      <c r="P811" t="s">
        <v>38</v>
      </c>
      <c r="Q811" t="str">
        <f t="shared" si="51"/>
        <v>Expiry before Received</v>
      </c>
      <c r="R811" s="3">
        <f t="shared" si="49"/>
        <v>152</v>
      </c>
      <c r="S811">
        <f t="shared" si="48"/>
        <v>0</v>
      </c>
      <c r="T811" t="str">
        <f t="shared" si="50"/>
        <v>Sufficient Stock</v>
      </c>
    </row>
    <row r="812" spans="1:20" x14ac:dyDescent="0.3">
      <c r="A812" t="s">
        <v>2917</v>
      </c>
      <c r="B812" t="s">
        <v>1268</v>
      </c>
      <c r="C812" t="s">
        <v>47</v>
      </c>
      <c r="D812" t="s">
        <v>2918</v>
      </c>
      <c r="E812" t="s">
        <v>1454</v>
      </c>
      <c r="F812">
        <v>100</v>
      </c>
      <c r="G812">
        <v>64</v>
      </c>
      <c r="H812">
        <v>62</v>
      </c>
      <c r="I812" s="1">
        <v>2.5</v>
      </c>
      <c r="J812" s="2">
        <v>45641</v>
      </c>
      <c r="K812" s="2">
        <v>45656</v>
      </c>
      <c r="L812" s="2">
        <v>45528</v>
      </c>
      <c r="M812" t="s">
        <v>2919</v>
      </c>
      <c r="N812">
        <v>84</v>
      </c>
      <c r="O812">
        <v>44</v>
      </c>
      <c r="P812" t="s">
        <v>26</v>
      </c>
      <c r="Q812" t="str">
        <f t="shared" si="51"/>
        <v>Expiry before Received</v>
      </c>
      <c r="R812" s="3">
        <f t="shared" si="49"/>
        <v>250</v>
      </c>
      <c r="S812">
        <f t="shared" si="48"/>
        <v>0</v>
      </c>
      <c r="T812" t="str">
        <f t="shared" si="50"/>
        <v>Sufficient Stock</v>
      </c>
    </row>
    <row r="813" spans="1:20" x14ac:dyDescent="0.3">
      <c r="A813" t="s">
        <v>2920</v>
      </c>
      <c r="B813" t="s">
        <v>545</v>
      </c>
      <c r="C813" t="s">
        <v>47</v>
      </c>
      <c r="D813" t="s">
        <v>2921</v>
      </c>
      <c r="E813" t="s">
        <v>2922</v>
      </c>
      <c r="F813">
        <v>17</v>
      </c>
      <c r="G813">
        <v>45</v>
      </c>
      <c r="H813">
        <v>44</v>
      </c>
      <c r="I813" s="1">
        <v>6</v>
      </c>
      <c r="J813" s="2">
        <v>45498</v>
      </c>
      <c r="K813" s="2">
        <v>45385</v>
      </c>
      <c r="L813" s="2">
        <v>45575</v>
      </c>
      <c r="M813" t="s">
        <v>2923</v>
      </c>
      <c r="N813">
        <v>37</v>
      </c>
      <c r="O813">
        <v>16</v>
      </c>
      <c r="P813" t="s">
        <v>44</v>
      </c>
      <c r="Q813" t="str">
        <f t="shared" si="51"/>
        <v>Last Order before Received</v>
      </c>
      <c r="R813" s="3">
        <f t="shared" si="49"/>
        <v>102</v>
      </c>
      <c r="S813">
        <f t="shared" si="48"/>
        <v>28</v>
      </c>
      <c r="T813" t="str">
        <f t="shared" si="50"/>
        <v>Reorder Required</v>
      </c>
    </row>
    <row r="814" spans="1:20" x14ac:dyDescent="0.3">
      <c r="A814" t="s">
        <v>2924</v>
      </c>
      <c r="B814" t="s">
        <v>800</v>
      </c>
      <c r="C814" t="s">
        <v>132</v>
      </c>
      <c r="D814" t="s">
        <v>2925</v>
      </c>
      <c r="E814" t="s">
        <v>844</v>
      </c>
      <c r="F814">
        <v>51</v>
      </c>
      <c r="G814">
        <v>35</v>
      </c>
      <c r="H814">
        <v>95</v>
      </c>
      <c r="I814" s="1">
        <v>10</v>
      </c>
      <c r="J814" s="2">
        <v>45587</v>
      </c>
      <c r="K814" s="2">
        <v>45420</v>
      </c>
      <c r="L814" s="2">
        <v>45520</v>
      </c>
      <c r="M814" t="s">
        <v>2926</v>
      </c>
      <c r="N814">
        <v>80</v>
      </c>
      <c r="O814">
        <v>89</v>
      </c>
      <c r="P814" t="s">
        <v>38</v>
      </c>
      <c r="Q814" t="str">
        <f t="shared" si="51"/>
        <v>Expiry before Received</v>
      </c>
      <c r="R814" s="3">
        <f t="shared" si="49"/>
        <v>510</v>
      </c>
      <c r="S814">
        <f t="shared" si="48"/>
        <v>0</v>
      </c>
      <c r="T814" t="str">
        <f t="shared" si="50"/>
        <v>Sufficient Stock</v>
      </c>
    </row>
    <row r="815" spans="1:20" x14ac:dyDescent="0.3">
      <c r="A815" t="s">
        <v>2927</v>
      </c>
      <c r="B815" t="s">
        <v>1125</v>
      </c>
      <c r="C815" t="s">
        <v>47</v>
      </c>
      <c r="D815" t="s">
        <v>2928</v>
      </c>
      <c r="E815" t="s">
        <v>173</v>
      </c>
      <c r="F815">
        <v>54</v>
      </c>
      <c r="G815">
        <v>88</v>
      </c>
      <c r="H815">
        <v>43</v>
      </c>
      <c r="I815" s="1">
        <v>5.5</v>
      </c>
      <c r="J815" s="2">
        <v>45700</v>
      </c>
      <c r="K815" s="2">
        <v>45436</v>
      </c>
      <c r="L815" s="2">
        <v>45401</v>
      </c>
      <c r="M815" t="s">
        <v>2929</v>
      </c>
      <c r="N815">
        <v>81</v>
      </c>
      <c r="O815">
        <v>77</v>
      </c>
      <c r="P815" t="s">
        <v>38</v>
      </c>
      <c r="Q815" t="str">
        <f t="shared" si="51"/>
        <v>Expiry before Received</v>
      </c>
      <c r="R815" s="3">
        <f t="shared" si="49"/>
        <v>297</v>
      </c>
      <c r="S815">
        <f t="shared" si="48"/>
        <v>34</v>
      </c>
      <c r="T815" t="str">
        <f t="shared" si="50"/>
        <v>Reorder Required</v>
      </c>
    </row>
    <row r="816" spans="1:20" x14ac:dyDescent="0.3">
      <c r="A816" t="s">
        <v>2930</v>
      </c>
      <c r="B816" t="s">
        <v>265</v>
      </c>
      <c r="C816" t="s">
        <v>89</v>
      </c>
      <c r="D816" t="s">
        <v>2931</v>
      </c>
      <c r="E816" t="s">
        <v>1093</v>
      </c>
      <c r="F816">
        <v>94</v>
      </c>
      <c r="G816">
        <v>56</v>
      </c>
      <c r="H816">
        <v>80</v>
      </c>
      <c r="I816" s="1">
        <v>4</v>
      </c>
      <c r="J816" s="2">
        <v>45661</v>
      </c>
      <c r="K816" s="2">
        <v>45628</v>
      </c>
      <c r="L816" s="2">
        <v>45562</v>
      </c>
      <c r="M816" t="s">
        <v>2932</v>
      </c>
      <c r="N816">
        <v>47</v>
      </c>
      <c r="O816">
        <v>96</v>
      </c>
      <c r="P816" t="s">
        <v>38</v>
      </c>
      <c r="Q816" t="str">
        <f t="shared" si="51"/>
        <v>Expiry before Received</v>
      </c>
      <c r="R816" s="3">
        <f t="shared" si="49"/>
        <v>376</v>
      </c>
      <c r="S816">
        <f t="shared" si="48"/>
        <v>0</v>
      </c>
      <c r="T816" t="str">
        <f t="shared" si="50"/>
        <v>Sufficient Stock</v>
      </c>
    </row>
    <row r="817" spans="1:20" x14ac:dyDescent="0.3">
      <c r="A817" t="s">
        <v>2933</v>
      </c>
      <c r="B817" t="s">
        <v>751</v>
      </c>
      <c r="C817" t="s">
        <v>47</v>
      </c>
      <c r="D817" t="s">
        <v>2934</v>
      </c>
      <c r="E817" t="s">
        <v>91</v>
      </c>
      <c r="F817">
        <v>34</v>
      </c>
      <c r="G817">
        <v>95</v>
      </c>
      <c r="H817">
        <v>18</v>
      </c>
      <c r="I817" s="1">
        <v>5</v>
      </c>
      <c r="J817" s="2">
        <v>45579</v>
      </c>
      <c r="K817" s="2">
        <v>45582</v>
      </c>
      <c r="L817" s="2">
        <v>45424</v>
      </c>
      <c r="M817" t="s">
        <v>2935</v>
      </c>
      <c r="N817">
        <v>41</v>
      </c>
      <c r="O817">
        <v>26</v>
      </c>
      <c r="P817" t="s">
        <v>26</v>
      </c>
      <c r="Q817" t="str">
        <f t="shared" si="51"/>
        <v>Expiry before Received</v>
      </c>
      <c r="R817" s="3">
        <f t="shared" si="49"/>
        <v>170</v>
      </c>
      <c r="S817">
        <f t="shared" si="48"/>
        <v>61</v>
      </c>
      <c r="T817" t="str">
        <f t="shared" si="50"/>
        <v>Reorder Required</v>
      </c>
    </row>
    <row r="818" spans="1:20" x14ac:dyDescent="0.3">
      <c r="A818" t="s">
        <v>2936</v>
      </c>
      <c r="B818" t="s">
        <v>191</v>
      </c>
      <c r="C818" t="s">
        <v>29</v>
      </c>
      <c r="D818" t="s">
        <v>2937</v>
      </c>
      <c r="E818" t="s">
        <v>2938</v>
      </c>
      <c r="F818">
        <v>27</v>
      </c>
      <c r="G818">
        <v>1</v>
      </c>
      <c r="H818">
        <v>3</v>
      </c>
      <c r="I818" s="1">
        <v>30</v>
      </c>
      <c r="J818" s="2">
        <v>45398</v>
      </c>
      <c r="K818" s="2">
        <v>45513</v>
      </c>
      <c r="L818" s="2">
        <v>45624</v>
      </c>
      <c r="M818" t="s">
        <v>2939</v>
      </c>
      <c r="N818">
        <v>34</v>
      </c>
      <c r="O818">
        <v>63</v>
      </c>
      <c r="P818" t="s">
        <v>38</v>
      </c>
      <c r="Q818" t="str">
        <f t="shared" si="51"/>
        <v>OK</v>
      </c>
      <c r="R818" s="3">
        <f t="shared" si="49"/>
        <v>810</v>
      </c>
      <c r="S818">
        <f t="shared" si="48"/>
        <v>0</v>
      </c>
      <c r="T818" t="str">
        <f t="shared" si="50"/>
        <v>Sufficient Stock</v>
      </c>
    </row>
    <row r="819" spans="1:20" x14ac:dyDescent="0.3">
      <c r="A819" t="s">
        <v>2940</v>
      </c>
      <c r="B819" t="s">
        <v>52</v>
      </c>
      <c r="C819" t="s">
        <v>22</v>
      </c>
      <c r="D819" t="s">
        <v>2941</v>
      </c>
      <c r="E819" t="s">
        <v>193</v>
      </c>
      <c r="F819">
        <v>50</v>
      </c>
      <c r="G819">
        <v>42</v>
      </c>
      <c r="H819">
        <v>20</v>
      </c>
      <c r="I819" s="1">
        <v>1.75</v>
      </c>
      <c r="J819" s="2">
        <v>45602</v>
      </c>
      <c r="K819" s="2">
        <v>45707</v>
      </c>
      <c r="L819" s="2">
        <v>45497</v>
      </c>
      <c r="M819" t="s">
        <v>2942</v>
      </c>
      <c r="N819">
        <v>87</v>
      </c>
      <c r="O819">
        <v>59</v>
      </c>
      <c r="P819" t="s">
        <v>44</v>
      </c>
      <c r="Q819" t="str">
        <f t="shared" si="51"/>
        <v>Expiry before Received</v>
      </c>
      <c r="R819" s="3">
        <f t="shared" si="49"/>
        <v>87.5</v>
      </c>
      <c r="S819">
        <f t="shared" si="48"/>
        <v>0</v>
      </c>
      <c r="T819" t="str">
        <f t="shared" si="50"/>
        <v>Sufficient Stock</v>
      </c>
    </row>
    <row r="820" spans="1:20" x14ac:dyDescent="0.3">
      <c r="A820" t="s">
        <v>2943</v>
      </c>
      <c r="B820" t="s">
        <v>501</v>
      </c>
      <c r="C820" t="s">
        <v>22</v>
      </c>
      <c r="D820" t="s">
        <v>2944</v>
      </c>
      <c r="E820" t="s">
        <v>2650</v>
      </c>
      <c r="F820">
        <v>85</v>
      </c>
      <c r="G820">
        <v>12</v>
      </c>
      <c r="H820">
        <v>94</v>
      </c>
      <c r="I820" s="1">
        <v>9.5</v>
      </c>
      <c r="J820" s="2">
        <v>45375</v>
      </c>
      <c r="K820" s="2">
        <v>45590</v>
      </c>
      <c r="L820" s="2">
        <v>45365</v>
      </c>
      <c r="M820" t="s">
        <v>2945</v>
      </c>
      <c r="N820">
        <v>26</v>
      </c>
      <c r="O820">
        <v>32</v>
      </c>
      <c r="P820" t="s">
        <v>26</v>
      </c>
      <c r="Q820" t="str">
        <f t="shared" si="51"/>
        <v>Expiry before Received</v>
      </c>
      <c r="R820" s="3">
        <f t="shared" si="49"/>
        <v>807.5</v>
      </c>
      <c r="S820">
        <f t="shared" si="48"/>
        <v>0</v>
      </c>
      <c r="T820" t="str">
        <f t="shared" si="50"/>
        <v>Sufficient Stock</v>
      </c>
    </row>
    <row r="821" spans="1:20" x14ac:dyDescent="0.3">
      <c r="A821" t="s">
        <v>2946</v>
      </c>
      <c r="B821" t="s">
        <v>472</v>
      </c>
      <c r="C821" t="s">
        <v>22</v>
      </c>
      <c r="D821" t="s">
        <v>2947</v>
      </c>
      <c r="E821" t="s">
        <v>907</v>
      </c>
      <c r="F821">
        <v>24</v>
      </c>
      <c r="G821">
        <v>2</v>
      </c>
      <c r="H821">
        <v>49</v>
      </c>
      <c r="I821" s="1">
        <v>2</v>
      </c>
      <c r="J821" s="2">
        <v>45445</v>
      </c>
      <c r="K821" s="2">
        <v>45682</v>
      </c>
      <c r="L821" s="2">
        <v>45540</v>
      </c>
      <c r="M821" t="s">
        <v>2948</v>
      </c>
      <c r="N821">
        <v>98</v>
      </c>
      <c r="O821">
        <v>82</v>
      </c>
      <c r="P821" t="s">
        <v>44</v>
      </c>
      <c r="Q821" t="str">
        <f t="shared" si="51"/>
        <v>OK</v>
      </c>
      <c r="R821" s="3">
        <f t="shared" si="49"/>
        <v>48</v>
      </c>
      <c r="S821">
        <f t="shared" si="48"/>
        <v>0</v>
      </c>
      <c r="T821" t="str">
        <f t="shared" si="50"/>
        <v>Sufficient Stock</v>
      </c>
    </row>
    <row r="822" spans="1:20" x14ac:dyDescent="0.3">
      <c r="A822" t="s">
        <v>2949</v>
      </c>
      <c r="B822" t="s">
        <v>1166</v>
      </c>
      <c r="C822" t="s">
        <v>132</v>
      </c>
      <c r="D822" t="s">
        <v>2950</v>
      </c>
      <c r="E822" t="s">
        <v>761</v>
      </c>
      <c r="F822">
        <v>82</v>
      </c>
      <c r="G822">
        <v>31</v>
      </c>
      <c r="H822">
        <v>86</v>
      </c>
      <c r="I822" s="1">
        <v>20</v>
      </c>
      <c r="J822" s="2">
        <v>45392</v>
      </c>
      <c r="K822" s="2">
        <v>45429</v>
      </c>
      <c r="L822" s="2">
        <v>45665</v>
      </c>
      <c r="M822" t="s">
        <v>2951</v>
      </c>
      <c r="N822">
        <v>66</v>
      </c>
      <c r="O822">
        <v>74</v>
      </c>
      <c r="P822" t="s">
        <v>44</v>
      </c>
      <c r="Q822" t="str">
        <f t="shared" si="51"/>
        <v>OK</v>
      </c>
      <c r="R822" s="3">
        <f t="shared" si="49"/>
        <v>1640</v>
      </c>
      <c r="S822">
        <f t="shared" si="48"/>
        <v>0</v>
      </c>
      <c r="T822" t="str">
        <f t="shared" si="50"/>
        <v>Sufficient Stock</v>
      </c>
    </row>
    <row r="823" spans="1:20" x14ac:dyDescent="0.3">
      <c r="A823" t="s">
        <v>2952</v>
      </c>
      <c r="B823" t="s">
        <v>1234</v>
      </c>
      <c r="C823" t="s">
        <v>47</v>
      </c>
      <c r="D823" t="s">
        <v>2953</v>
      </c>
      <c r="E823" t="s">
        <v>2343</v>
      </c>
      <c r="F823">
        <v>17</v>
      </c>
      <c r="G823">
        <v>14</v>
      </c>
      <c r="H823">
        <v>17</v>
      </c>
      <c r="I823" s="1">
        <v>3.5</v>
      </c>
      <c r="J823" s="2">
        <v>45375</v>
      </c>
      <c r="K823" s="2">
        <v>45570</v>
      </c>
      <c r="L823" s="2">
        <v>45396</v>
      </c>
      <c r="M823" t="s">
        <v>2954</v>
      </c>
      <c r="N823">
        <v>36</v>
      </c>
      <c r="O823">
        <v>64</v>
      </c>
      <c r="P823" t="s">
        <v>26</v>
      </c>
      <c r="Q823" t="str">
        <f t="shared" si="51"/>
        <v>OK</v>
      </c>
      <c r="R823" s="3">
        <f t="shared" si="49"/>
        <v>59.5</v>
      </c>
      <c r="S823">
        <f t="shared" si="48"/>
        <v>0</v>
      </c>
      <c r="T823" t="str">
        <f t="shared" si="50"/>
        <v>Sufficient Stock</v>
      </c>
    </row>
    <row r="824" spans="1:20" x14ac:dyDescent="0.3">
      <c r="A824" t="s">
        <v>2955</v>
      </c>
      <c r="B824" t="s">
        <v>599</v>
      </c>
      <c r="C824" t="s">
        <v>58</v>
      </c>
      <c r="D824" t="s">
        <v>2956</v>
      </c>
      <c r="E824" t="s">
        <v>271</v>
      </c>
      <c r="F824">
        <v>25</v>
      </c>
      <c r="G824">
        <v>97</v>
      </c>
      <c r="H824">
        <v>63</v>
      </c>
      <c r="I824" s="1">
        <v>2.2999999999999998</v>
      </c>
      <c r="J824" s="2">
        <v>45587</v>
      </c>
      <c r="K824" s="2">
        <v>45465</v>
      </c>
      <c r="L824" s="2">
        <v>45519</v>
      </c>
      <c r="M824" t="s">
        <v>2957</v>
      </c>
      <c r="N824">
        <v>72</v>
      </c>
      <c r="O824">
        <v>23</v>
      </c>
      <c r="P824" t="s">
        <v>26</v>
      </c>
      <c r="Q824" t="str">
        <f t="shared" si="51"/>
        <v>Expiry before Received</v>
      </c>
      <c r="R824" s="3">
        <f t="shared" si="49"/>
        <v>57.499999999999993</v>
      </c>
      <c r="S824">
        <f t="shared" si="48"/>
        <v>72</v>
      </c>
      <c r="T824" t="str">
        <f t="shared" si="50"/>
        <v>Reorder Required</v>
      </c>
    </row>
    <row r="825" spans="1:20" x14ac:dyDescent="0.3">
      <c r="A825" t="s">
        <v>2958</v>
      </c>
      <c r="B825" t="s">
        <v>508</v>
      </c>
      <c r="C825" t="s">
        <v>132</v>
      </c>
      <c r="D825" t="s">
        <v>2959</v>
      </c>
      <c r="E825" t="s">
        <v>655</v>
      </c>
      <c r="F825">
        <v>56</v>
      </c>
      <c r="G825">
        <v>59</v>
      </c>
      <c r="H825">
        <v>87</v>
      </c>
      <c r="I825" s="1">
        <v>7</v>
      </c>
      <c r="J825" s="2">
        <v>45683</v>
      </c>
      <c r="K825" s="2">
        <v>45649</v>
      </c>
      <c r="L825" s="2">
        <v>45502</v>
      </c>
      <c r="M825" t="s">
        <v>2960</v>
      </c>
      <c r="N825">
        <v>65</v>
      </c>
      <c r="O825">
        <v>45</v>
      </c>
      <c r="P825" t="s">
        <v>44</v>
      </c>
      <c r="Q825" t="str">
        <f t="shared" si="51"/>
        <v>Expiry before Received</v>
      </c>
      <c r="R825" s="3">
        <f t="shared" si="49"/>
        <v>392</v>
      </c>
      <c r="S825">
        <f t="shared" si="48"/>
        <v>3</v>
      </c>
      <c r="T825" t="str">
        <f t="shared" si="50"/>
        <v>Reorder Required</v>
      </c>
    </row>
    <row r="826" spans="1:20" x14ac:dyDescent="0.3">
      <c r="A826" t="s">
        <v>2961</v>
      </c>
      <c r="B826" t="s">
        <v>1192</v>
      </c>
      <c r="C826" t="s">
        <v>64</v>
      </c>
      <c r="D826" t="s">
        <v>2962</v>
      </c>
      <c r="E826" t="s">
        <v>485</v>
      </c>
      <c r="F826">
        <v>72</v>
      </c>
      <c r="G826">
        <v>3</v>
      </c>
      <c r="H826">
        <v>10</v>
      </c>
      <c r="I826" s="1">
        <v>2</v>
      </c>
      <c r="J826" s="2">
        <v>45675</v>
      </c>
      <c r="K826" s="2">
        <v>45504</v>
      </c>
      <c r="L826" s="2">
        <v>45570</v>
      </c>
      <c r="M826" t="s">
        <v>2963</v>
      </c>
      <c r="N826">
        <v>52</v>
      </c>
      <c r="O826">
        <v>14</v>
      </c>
      <c r="P826" t="s">
        <v>38</v>
      </c>
      <c r="Q826" t="str">
        <f t="shared" si="51"/>
        <v>Expiry before Received</v>
      </c>
      <c r="R826" s="3">
        <f t="shared" si="49"/>
        <v>144</v>
      </c>
      <c r="S826">
        <f t="shared" si="48"/>
        <v>0</v>
      </c>
      <c r="T826" t="str">
        <f t="shared" si="50"/>
        <v>Sufficient Stock</v>
      </c>
    </row>
    <row r="827" spans="1:20" x14ac:dyDescent="0.3">
      <c r="A827" t="s">
        <v>2964</v>
      </c>
      <c r="B827" t="s">
        <v>162</v>
      </c>
      <c r="C827" t="s">
        <v>47</v>
      </c>
      <c r="D827" t="s">
        <v>2965</v>
      </c>
      <c r="E827" t="s">
        <v>437</v>
      </c>
      <c r="F827">
        <v>65</v>
      </c>
      <c r="G827">
        <v>42</v>
      </c>
      <c r="H827">
        <v>62</v>
      </c>
      <c r="I827" s="1">
        <v>6.3</v>
      </c>
      <c r="J827" s="2">
        <v>45589</v>
      </c>
      <c r="K827" s="2">
        <v>45462</v>
      </c>
      <c r="L827" s="2">
        <v>45486</v>
      </c>
      <c r="M827" t="s">
        <v>2966</v>
      </c>
      <c r="N827">
        <v>54</v>
      </c>
      <c r="O827">
        <v>2</v>
      </c>
      <c r="P827" t="s">
        <v>44</v>
      </c>
      <c r="Q827" t="str">
        <f t="shared" si="51"/>
        <v>Expiry before Received</v>
      </c>
      <c r="R827" s="3">
        <f t="shared" si="49"/>
        <v>409.5</v>
      </c>
      <c r="S827">
        <f t="shared" si="48"/>
        <v>0</v>
      </c>
      <c r="T827" t="str">
        <f t="shared" si="50"/>
        <v>Sufficient Stock</v>
      </c>
    </row>
    <row r="828" spans="1:20" x14ac:dyDescent="0.3">
      <c r="A828" t="s">
        <v>2967</v>
      </c>
      <c r="B828" t="s">
        <v>1125</v>
      </c>
      <c r="C828" t="s">
        <v>47</v>
      </c>
      <c r="D828" t="s">
        <v>2968</v>
      </c>
      <c r="E828" t="s">
        <v>1968</v>
      </c>
      <c r="F828">
        <v>30</v>
      </c>
      <c r="G828">
        <v>66</v>
      </c>
      <c r="H828">
        <v>28</v>
      </c>
      <c r="I828" s="1">
        <v>5.5</v>
      </c>
      <c r="J828" s="2">
        <v>45513</v>
      </c>
      <c r="K828" s="2">
        <v>45696</v>
      </c>
      <c r="L828" s="2">
        <v>45654</v>
      </c>
      <c r="M828" t="s">
        <v>2969</v>
      </c>
      <c r="N828">
        <v>63</v>
      </c>
      <c r="O828">
        <v>98</v>
      </c>
      <c r="P828" t="s">
        <v>44</v>
      </c>
      <c r="Q828" t="str">
        <f t="shared" si="51"/>
        <v>OK</v>
      </c>
      <c r="R828" s="3">
        <f t="shared" si="49"/>
        <v>165</v>
      </c>
      <c r="S828">
        <f t="shared" si="48"/>
        <v>36</v>
      </c>
      <c r="T828" t="str">
        <f t="shared" si="50"/>
        <v>Reorder Required</v>
      </c>
    </row>
    <row r="829" spans="1:20" x14ac:dyDescent="0.3">
      <c r="A829" t="s">
        <v>2970</v>
      </c>
      <c r="B829" t="s">
        <v>201</v>
      </c>
      <c r="C829" t="s">
        <v>47</v>
      </c>
      <c r="D829" t="s">
        <v>2971</v>
      </c>
      <c r="E829" t="s">
        <v>707</v>
      </c>
      <c r="F829">
        <v>39</v>
      </c>
      <c r="G829">
        <v>37</v>
      </c>
      <c r="H829">
        <v>48</v>
      </c>
      <c r="I829" s="1">
        <v>2</v>
      </c>
      <c r="J829" s="2">
        <v>45623</v>
      </c>
      <c r="K829" s="2">
        <v>45530</v>
      </c>
      <c r="L829" s="2">
        <v>45467</v>
      </c>
      <c r="M829" t="s">
        <v>2972</v>
      </c>
      <c r="N829">
        <v>25</v>
      </c>
      <c r="O829">
        <v>19</v>
      </c>
      <c r="P829" t="s">
        <v>44</v>
      </c>
      <c r="Q829" t="str">
        <f t="shared" si="51"/>
        <v>Expiry before Received</v>
      </c>
      <c r="R829" s="3">
        <f t="shared" si="49"/>
        <v>78</v>
      </c>
      <c r="S829">
        <f t="shared" si="48"/>
        <v>0</v>
      </c>
      <c r="T829" t="str">
        <f t="shared" si="50"/>
        <v>Sufficient Stock</v>
      </c>
    </row>
    <row r="830" spans="1:20" x14ac:dyDescent="0.3">
      <c r="A830" t="s">
        <v>2973</v>
      </c>
      <c r="B830" t="s">
        <v>181</v>
      </c>
      <c r="C830" t="s">
        <v>47</v>
      </c>
      <c r="D830" t="s">
        <v>2974</v>
      </c>
      <c r="E830" t="s">
        <v>1315</v>
      </c>
      <c r="F830">
        <v>14</v>
      </c>
      <c r="G830">
        <v>81</v>
      </c>
      <c r="H830">
        <v>65</v>
      </c>
      <c r="I830" s="1">
        <v>3.5</v>
      </c>
      <c r="J830" s="2">
        <v>45613</v>
      </c>
      <c r="K830" s="2">
        <v>45366</v>
      </c>
      <c r="L830" s="2">
        <v>45587</v>
      </c>
      <c r="M830" t="s">
        <v>2975</v>
      </c>
      <c r="N830">
        <v>74</v>
      </c>
      <c r="O830">
        <v>84</v>
      </c>
      <c r="P830" t="s">
        <v>44</v>
      </c>
      <c r="Q830" t="str">
        <f t="shared" si="51"/>
        <v>Expiry before Received</v>
      </c>
      <c r="R830" s="3">
        <f t="shared" si="49"/>
        <v>49</v>
      </c>
      <c r="S830">
        <f t="shared" si="48"/>
        <v>67</v>
      </c>
      <c r="T830" t="str">
        <f t="shared" si="50"/>
        <v>Reorder Required</v>
      </c>
    </row>
    <row r="831" spans="1:20" x14ac:dyDescent="0.3">
      <c r="A831" t="s">
        <v>2976</v>
      </c>
      <c r="B831" t="s">
        <v>311</v>
      </c>
      <c r="C831" t="s">
        <v>47</v>
      </c>
      <c r="D831" t="s">
        <v>2977</v>
      </c>
      <c r="E831" t="s">
        <v>1093</v>
      </c>
      <c r="F831">
        <v>74</v>
      </c>
      <c r="G831">
        <v>37</v>
      </c>
      <c r="H831">
        <v>57</v>
      </c>
      <c r="I831" s="1">
        <v>1.5</v>
      </c>
      <c r="J831" s="2">
        <v>45702</v>
      </c>
      <c r="K831" s="2">
        <v>45355</v>
      </c>
      <c r="L831" s="2">
        <v>45644</v>
      </c>
      <c r="M831" t="s">
        <v>2978</v>
      </c>
      <c r="N831">
        <v>91</v>
      </c>
      <c r="O831">
        <v>18</v>
      </c>
      <c r="P831" t="s">
        <v>44</v>
      </c>
      <c r="Q831" t="str">
        <f t="shared" si="51"/>
        <v>Expiry before Received</v>
      </c>
      <c r="R831" s="3">
        <f t="shared" si="49"/>
        <v>111</v>
      </c>
      <c r="S831">
        <f t="shared" si="48"/>
        <v>0</v>
      </c>
      <c r="T831" t="str">
        <f t="shared" si="50"/>
        <v>Sufficient Stock</v>
      </c>
    </row>
    <row r="832" spans="1:20" x14ac:dyDescent="0.3">
      <c r="A832" t="s">
        <v>2979</v>
      </c>
      <c r="B832" t="s">
        <v>147</v>
      </c>
      <c r="C832" t="s">
        <v>64</v>
      </c>
      <c r="D832" t="s">
        <v>2980</v>
      </c>
      <c r="E832" t="s">
        <v>2219</v>
      </c>
      <c r="F832">
        <v>63</v>
      </c>
      <c r="G832">
        <v>41</v>
      </c>
      <c r="H832">
        <v>98</v>
      </c>
      <c r="I832" s="1">
        <v>11.9</v>
      </c>
      <c r="J832" s="2">
        <v>45587</v>
      </c>
      <c r="K832" s="2">
        <v>45643</v>
      </c>
      <c r="L832" s="2">
        <v>45518</v>
      </c>
      <c r="M832" t="s">
        <v>2981</v>
      </c>
      <c r="N832">
        <v>37</v>
      </c>
      <c r="O832">
        <v>7</v>
      </c>
      <c r="P832" t="s">
        <v>44</v>
      </c>
      <c r="Q832" t="str">
        <f t="shared" si="51"/>
        <v>Expiry before Received</v>
      </c>
      <c r="R832" s="3">
        <f t="shared" si="49"/>
        <v>749.7</v>
      </c>
      <c r="S832">
        <f t="shared" si="48"/>
        <v>0</v>
      </c>
      <c r="T832" t="str">
        <f t="shared" si="50"/>
        <v>Sufficient Stock</v>
      </c>
    </row>
    <row r="833" spans="1:20" x14ac:dyDescent="0.3">
      <c r="A833" t="s">
        <v>2982</v>
      </c>
      <c r="B833" t="s">
        <v>554</v>
      </c>
      <c r="C833" t="s">
        <v>47</v>
      </c>
      <c r="D833" t="s">
        <v>2983</v>
      </c>
      <c r="E833" t="s">
        <v>105</v>
      </c>
      <c r="F833">
        <v>47</v>
      </c>
      <c r="G833">
        <v>67</v>
      </c>
      <c r="H833">
        <v>57</v>
      </c>
      <c r="I833" s="1">
        <v>4</v>
      </c>
      <c r="J833" s="2">
        <v>45630</v>
      </c>
      <c r="K833" s="2">
        <v>45495</v>
      </c>
      <c r="L833" s="2">
        <v>45711</v>
      </c>
      <c r="M833" t="s">
        <v>2984</v>
      </c>
      <c r="N833">
        <v>36</v>
      </c>
      <c r="O833">
        <v>48</v>
      </c>
      <c r="P833" t="s">
        <v>38</v>
      </c>
      <c r="Q833" t="str">
        <f t="shared" si="51"/>
        <v>Last Order before Received</v>
      </c>
      <c r="R833" s="3">
        <f t="shared" si="49"/>
        <v>188</v>
      </c>
      <c r="S833">
        <f t="shared" si="48"/>
        <v>20</v>
      </c>
      <c r="T833" t="str">
        <f t="shared" si="50"/>
        <v>Reorder Required</v>
      </c>
    </row>
    <row r="834" spans="1:20" x14ac:dyDescent="0.3">
      <c r="A834" t="s">
        <v>2985</v>
      </c>
      <c r="B834" t="s">
        <v>728</v>
      </c>
      <c r="C834" t="s">
        <v>64</v>
      </c>
      <c r="D834" t="s">
        <v>2986</v>
      </c>
      <c r="E834" t="s">
        <v>734</v>
      </c>
      <c r="F834">
        <v>42</v>
      </c>
      <c r="G834">
        <v>94</v>
      </c>
      <c r="H834">
        <v>79</v>
      </c>
      <c r="I834" s="1">
        <v>2.5</v>
      </c>
      <c r="J834" s="2">
        <v>45643</v>
      </c>
      <c r="K834" s="2">
        <v>45647</v>
      </c>
      <c r="L834" s="2">
        <v>45428</v>
      </c>
      <c r="M834" t="s">
        <v>2987</v>
      </c>
      <c r="N834">
        <v>61</v>
      </c>
      <c r="O834">
        <v>92</v>
      </c>
      <c r="P834" t="s">
        <v>38</v>
      </c>
      <c r="Q834" t="str">
        <f t="shared" si="51"/>
        <v>Expiry before Received</v>
      </c>
      <c r="R834" s="3">
        <f t="shared" si="49"/>
        <v>105</v>
      </c>
      <c r="S834">
        <f t="shared" ref="S834:S897" si="52">MAX(0,G834-F834)</f>
        <v>52</v>
      </c>
      <c r="T834" t="str">
        <f t="shared" si="50"/>
        <v>Reorder Required</v>
      </c>
    </row>
    <row r="835" spans="1:20" x14ac:dyDescent="0.3">
      <c r="A835" t="s">
        <v>2988</v>
      </c>
      <c r="B835" t="s">
        <v>1268</v>
      </c>
      <c r="C835" t="s">
        <v>47</v>
      </c>
      <c r="D835" t="s">
        <v>2989</v>
      </c>
      <c r="E835" t="s">
        <v>1064</v>
      </c>
      <c r="F835">
        <v>32</v>
      </c>
      <c r="G835">
        <v>49</v>
      </c>
      <c r="H835">
        <v>73</v>
      </c>
      <c r="I835" s="1">
        <v>2.5</v>
      </c>
      <c r="J835" s="2">
        <v>45479</v>
      </c>
      <c r="K835" s="2">
        <v>45404</v>
      </c>
      <c r="L835" s="2">
        <v>45439</v>
      </c>
      <c r="M835" t="s">
        <v>2990</v>
      </c>
      <c r="N835">
        <v>80</v>
      </c>
      <c r="O835">
        <v>36</v>
      </c>
      <c r="P835" t="s">
        <v>26</v>
      </c>
      <c r="Q835" t="str">
        <f t="shared" si="51"/>
        <v>Expiry before Received</v>
      </c>
      <c r="R835" s="3">
        <f t="shared" ref="R835:R898" si="53">F835*I835</f>
        <v>80</v>
      </c>
      <c r="S835">
        <f t="shared" si="52"/>
        <v>17</v>
      </c>
      <c r="T835" t="str">
        <f t="shared" ref="T835:T898" si="54">IF(F835&lt;G835,"Reorder Required","Sufficient Stock")</f>
        <v>Reorder Required</v>
      </c>
    </row>
    <row r="836" spans="1:20" x14ac:dyDescent="0.3">
      <c r="A836" t="s">
        <v>2991</v>
      </c>
      <c r="B836" t="s">
        <v>512</v>
      </c>
      <c r="C836" t="s">
        <v>47</v>
      </c>
      <c r="D836" t="s">
        <v>2992</v>
      </c>
      <c r="E836" t="s">
        <v>810</v>
      </c>
      <c r="F836">
        <v>88</v>
      </c>
      <c r="G836">
        <v>56</v>
      </c>
      <c r="H836">
        <v>72</v>
      </c>
      <c r="I836" s="1">
        <v>2</v>
      </c>
      <c r="J836" s="2">
        <v>45669</v>
      </c>
      <c r="K836" s="2">
        <v>45394</v>
      </c>
      <c r="L836" s="2">
        <v>45471</v>
      </c>
      <c r="M836" t="s">
        <v>2993</v>
      </c>
      <c r="N836">
        <v>25</v>
      </c>
      <c r="O836">
        <v>36</v>
      </c>
      <c r="P836" t="s">
        <v>44</v>
      </c>
      <c r="Q836" t="str">
        <f t="shared" si="51"/>
        <v>Expiry before Received</v>
      </c>
      <c r="R836" s="3">
        <f t="shared" si="53"/>
        <v>176</v>
      </c>
      <c r="S836">
        <f t="shared" si="52"/>
        <v>0</v>
      </c>
      <c r="T836" t="str">
        <f t="shared" si="54"/>
        <v>Sufficient Stock</v>
      </c>
    </row>
    <row r="837" spans="1:20" x14ac:dyDescent="0.3">
      <c r="A837" t="s">
        <v>2994</v>
      </c>
      <c r="B837" t="s">
        <v>1218</v>
      </c>
      <c r="C837" t="s">
        <v>64</v>
      </c>
      <c r="D837" t="s">
        <v>2995</v>
      </c>
      <c r="E837" t="s">
        <v>2996</v>
      </c>
      <c r="F837">
        <v>80</v>
      </c>
      <c r="G837">
        <v>69</v>
      </c>
      <c r="H837">
        <v>71</v>
      </c>
      <c r="I837" s="1">
        <v>1.75</v>
      </c>
      <c r="J837" s="2">
        <v>45531</v>
      </c>
      <c r="K837" s="2">
        <v>45415</v>
      </c>
      <c r="L837" s="2">
        <v>45399</v>
      </c>
      <c r="M837" t="s">
        <v>2997</v>
      </c>
      <c r="N837">
        <v>41</v>
      </c>
      <c r="O837">
        <v>43</v>
      </c>
      <c r="P837" t="s">
        <v>38</v>
      </c>
      <c r="Q837" t="str">
        <f t="shared" si="51"/>
        <v>Expiry before Received</v>
      </c>
      <c r="R837" s="3">
        <f t="shared" si="53"/>
        <v>140</v>
      </c>
      <c r="S837">
        <f t="shared" si="52"/>
        <v>0</v>
      </c>
      <c r="T837" t="str">
        <f t="shared" si="54"/>
        <v>Sufficient Stock</v>
      </c>
    </row>
    <row r="838" spans="1:20" x14ac:dyDescent="0.3">
      <c r="A838" t="s">
        <v>2998</v>
      </c>
      <c r="B838" t="s">
        <v>274</v>
      </c>
      <c r="C838" t="s">
        <v>47</v>
      </c>
      <c r="D838" t="s">
        <v>2999</v>
      </c>
      <c r="E838" t="s">
        <v>1568</v>
      </c>
      <c r="F838">
        <v>36</v>
      </c>
      <c r="G838">
        <v>59</v>
      </c>
      <c r="H838">
        <v>90</v>
      </c>
      <c r="I838" s="1">
        <v>3</v>
      </c>
      <c r="J838" s="2">
        <v>45481</v>
      </c>
      <c r="K838" s="2">
        <v>45635</v>
      </c>
      <c r="L838" s="2">
        <v>45607</v>
      </c>
      <c r="M838" t="s">
        <v>3000</v>
      </c>
      <c r="N838">
        <v>25</v>
      </c>
      <c r="O838">
        <v>60</v>
      </c>
      <c r="P838" t="s">
        <v>26</v>
      </c>
      <c r="Q838" t="str">
        <f t="shared" si="51"/>
        <v>OK</v>
      </c>
      <c r="R838" s="3">
        <f t="shared" si="53"/>
        <v>108</v>
      </c>
      <c r="S838">
        <f t="shared" si="52"/>
        <v>23</v>
      </c>
      <c r="T838" t="str">
        <f t="shared" si="54"/>
        <v>Reorder Required</v>
      </c>
    </row>
    <row r="839" spans="1:20" x14ac:dyDescent="0.3">
      <c r="A839" t="s">
        <v>3001</v>
      </c>
      <c r="B839" t="s">
        <v>108</v>
      </c>
      <c r="C839" t="s">
        <v>22</v>
      </c>
      <c r="D839" t="s">
        <v>3002</v>
      </c>
      <c r="E839" t="s">
        <v>313</v>
      </c>
      <c r="F839">
        <v>11</v>
      </c>
      <c r="G839">
        <v>77</v>
      </c>
      <c r="H839">
        <v>7</v>
      </c>
      <c r="I839" s="1">
        <v>1.5</v>
      </c>
      <c r="J839" s="2">
        <v>45591</v>
      </c>
      <c r="K839" s="2">
        <v>45601</v>
      </c>
      <c r="L839" s="2">
        <v>45483</v>
      </c>
      <c r="M839" t="s">
        <v>3003</v>
      </c>
      <c r="N839">
        <v>77</v>
      </c>
      <c r="O839">
        <v>46</v>
      </c>
      <c r="P839" t="s">
        <v>38</v>
      </c>
      <c r="Q839" t="str">
        <f t="shared" ref="Q839:Q902" si="55">IF(L839&lt;J839,"Expiry before Received",IF(K839&lt;J839,"Last Order before Received","OK"))</f>
        <v>Expiry before Received</v>
      </c>
      <c r="R839" s="3">
        <f t="shared" si="53"/>
        <v>16.5</v>
      </c>
      <c r="S839">
        <f t="shared" si="52"/>
        <v>66</v>
      </c>
      <c r="T839" t="str">
        <f t="shared" si="54"/>
        <v>Reorder Required</v>
      </c>
    </row>
    <row r="840" spans="1:20" x14ac:dyDescent="0.3">
      <c r="A840" t="s">
        <v>3004</v>
      </c>
      <c r="B840" t="s">
        <v>554</v>
      </c>
      <c r="C840" t="s">
        <v>47</v>
      </c>
      <c r="D840" t="s">
        <v>3005</v>
      </c>
      <c r="E840" t="s">
        <v>1198</v>
      </c>
      <c r="F840">
        <v>40</v>
      </c>
      <c r="G840">
        <v>83</v>
      </c>
      <c r="H840">
        <v>50</v>
      </c>
      <c r="I840" s="1">
        <v>4</v>
      </c>
      <c r="J840" s="2">
        <v>45448</v>
      </c>
      <c r="K840" s="2">
        <v>45538</v>
      </c>
      <c r="L840" s="2">
        <v>45459</v>
      </c>
      <c r="M840" t="s">
        <v>3006</v>
      </c>
      <c r="N840">
        <v>92</v>
      </c>
      <c r="O840">
        <v>50</v>
      </c>
      <c r="P840" t="s">
        <v>44</v>
      </c>
      <c r="Q840" t="str">
        <f t="shared" si="55"/>
        <v>OK</v>
      </c>
      <c r="R840" s="3">
        <f t="shared" si="53"/>
        <v>160</v>
      </c>
      <c r="S840">
        <f t="shared" si="52"/>
        <v>43</v>
      </c>
      <c r="T840" t="str">
        <f t="shared" si="54"/>
        <v>Reorder Required</v>
      </c>
    </row>
    <row r="841" spans="1:20" x14ac:dyDescent="0.3">
      <c r="A841" t="s">
        <v>3007</v>
      </c>
      <c r="B841" t="s">
        <v>108</v>
      </c>
      <c r="C841" t="s">
        <v>22</v>
      </c>
      <c r="D841" t="s">
        <v>3008</v>
      </c>
      <c r="E841" t="s">
        <v>2847</v>
      </c>
      <c r="F841">
        <v>63</v>
      </c>
      <c r="G841">
        <v>43</v>
      </c>
      <c r="H841">
        <v>8</v>
      </c>
      <c r="I841" s="1">
        <v>1.5</v>
      </c>
      <c r="J841" s="2">
        <v>45524</v>
      </c>
      <c r="K841" s="2">
        <v>45402</v>
      </c>
      <c r="L841" s="2">
        <v>45634</v>
      </c>
      <c r="M841" t="s">
        <v>3009</v>
      </c>
      <c r="N841">
        <v>55</v>
      </c>
      <c r="O841">
        <v>72</v>
      </c>
      <c r="P841" t="s">
        <v>44</v>
      </c>
      <c r="Q841" t="str">
        <f t="shared" si="55"/>
        <v>Last Order before Received</v>
      </c>
      <c r="R841" s="3">
        <f t="shared" si="53"/>
        <v>94.5</v>
      </c>
      <c r="S841">
        <f t="shared" si="52"/>
        <v>0</v>
      </c>
      <c r="T841" t="str">
        <f t="shared" si="54"/>
        <v>Sufficient Stock</v>
      </c>
    </row>
    <row r="842" spans="1:20" x14ac:dyDescent="0.3">
      <c r="A842" t="s">
        <v>3010</v>
      </c>
      <c r="B842" t="s">
        <v>152</v>
      </c>
      <c r="C842" t="s">
        <v>22</v>
      </c>
      <c r="D842" t="s">
        <v>3011</v>
      </c>
      <c r="E842" t="s">
        <v>2372</v>
      </c>
      <c r="F842">
        <v>90</v>
      </c>
      <c r="G842">
        <v>75</v>
      </c>
      <c r="H842">
        <v>43</v>
      </c>
      <c r="I842" s="1">
        <v>1.5</v>
      </c>
      <c r="J842" s="2">
        <v>45440</v>
      </c>
      <c r="K842" s="2">
        <v>45553</v>
      </c>
      <c r="L842" s="2">
        <v>45711</v>
      </c>
      <c r="M842" t="s">
        <v>3012</v>
      </c>
      <c r="N842">
        <v>80</v>
      </c>
      <c r="O842">
        <v>57</v>
      </c>
      <c r="P842" t="s">
        <v>26</v>
      </c>
      <c r="Q842" t="str">
        <f t="shared" si="55"/>
        <v>OK</v>
      </c>
      <c r="R842" s="3">
        <f t="shared" si="53"/>
        <v>135</v>
      </c>
      <c r="S842">
        <f t="shared" si="52"/>
        <v>0</v>
      </c>
      <c r="T842" t="str">
        <f t="shared" si="54"/>
        <v>Sufficient Stock</v>
      </c>
    </row>
    <row r="843" spans="1:20" x14ac:dyDescent="0.3">
      <c r="A843" t="s">
        <v>3013</v>
      </c>
      <c r="B843" t="s">
        <v>243</v>
      </c>
      <c r="C843" t="s">
        <v>89</v>
      </c>
      <c r="D843" t="s">
        <v>3014</v>
      </c>
      <c r="E843" t="s">
        <v>972</v>
      </c>
      <c r="F843">
        <v>47</v>
      </c>
      <c r="G843">
        <v>26</v>
      </c>
      <c r="H843">
        <v>40</v>
      </c>
      <c r="I843" s="1">
        <v>3.25</v>
      </c>
      <c r="J843" s="2">
        <v>45639</v>
      </c>
      <c r="K843" s="2">
        <v>45669</v>
      </c>
      <c r="L843" s="2">
        <v>45622</v>
      </c>
      <c r="M843" t="s">
        <v>3015</v>
      </c>
      <c r="N843">
        <v>30</v>
      </c>
      <c r="O843">
        <v>72</v>
      </c>
      <c r="P843" t="s">
        <v>44</v>
      </c>
      <c r="Q843" t="str">
        <f t="shared" si="55"/>
        <v>Expiry before Received</v>
      </c>
      <c r="R843" s="3">
        <f t="shared" si="53"/>
        <v>152.75</v>
      </c>
      <c r="S843">
        <f t="shared" si="52"/>
        <v>0</v>
      </c>
      <c r="T843" t="str">
        <f t="shared" si="54"/>
        <v>Sufficient Stock</v>
      </c>
    </row>
    <row r="844" spans="1:20" x14ac:dyDescent="0.3">
      <c r="A844" t="s">
        <v>3016</v>
      </c>
      <c r="B844" t="s">
        <v>983</v>
      </c>
      <c r="C844" t="s">
        <v>89</v>
      </c>
      <c r="D844" t="s">
        <v>3017</v>
      </c>
      <c r="E844" t="s">
        <v>1231</v>
      </c>
      <c r="F844">
        <v>29</v>
      </c>
      <c r="G844">
        <v>2</v>
      </c>
      <c r="H844">
        <v>84</v>
      </c>
      <c r="I844" s="1">
        <v>4</v>
      </c>
      <c r="J844" s="2">
        <v>45372</v>
      </c>
      <c r="K844" s="2">
        <v>45401</v>
      </c>
      <c r="L844" s="2">
        <v>45560</v>
      </c>
      <c r="M844" t="s">
        <v>3018</v>
      </c>
      <c r="N844">
        <v>80</v>
      </c>
      <c r="O844">
        <v>85</v>
      </c>
      <c r="P844" t="s">
        <v>38</v>
      </c>
      <c r="Q844" t="str">
        <f t="shared" si="55"/>
        <v>OK</v>
      </c>
      <c r="R844" s="3">
        <f t="shared" si="53"/>
        <v>116</v>
      </c>
      <c r="S844">
        <f t="shared" si="52"/>
        <v>0</v>
      </c>
      <c r="T844" t="str">
        <f t="shared" si="54"/>
        <v>Sufficient Stock</v>
      </c>
    </row>
    <row r="845" spans="1:20" x14ac:dyDescent="0.3">
      <c r="A845" t="s">
        <v>3019</v>
      </c>
      <c r="B845" t="s">
        <v>554</v>
      </c>
      <c r="C845" t="s">
        <v>47</v>
      </c>
      <c r="D845" t="s">
        <v>3020</v>
      </c>
      <c r="E845" t="s">
        <v>2137</v>
      </c>
      <c r="F845">
        <v>94</v>
      </c>
      <c r="G845">
        <v>69</v>
      </c>
      <c r="H845">
        <v>68</v>
      </c>
      <c r="I845" s="1">
        <v>4</v>
      </c>
      <c r="J845" s="2">
        <v>45481</v>
      </c>
      <c r="K845" s="2">
        <v>45673</v>
      </c>
      <c r="L845" s="2">
        <v>45701</v>
      </c>
      <c r="M845" t="s">
        <v>3021</v>
      </c>
      <c r="N845">
        <v>24</v>
      </c>
      <c r="O845">
        <v>20</v>
      </c>
      <c r="P845" t="s">
        <v>26</v>
      </c>
      <c r="Q845" t="str">
        <f t="shared" si="55"/>
        <v>OK</v>
      </c>
      <c r="R845" s="3">
        <f t="shared" si="53"/>
        <v>376</v>
      </c>
      <c r="S845">
        <f t="shared" si="52"/>
        <v>0</v>
      </c>
      <c r="T845" t="str">
        <f t="shared" si="54"/>
        <v>Sufficient Stock</v>
      </c>
    </row>
    <row r="846" spans="1:20" x14ac:dyDescent="0.3">
      <c r="A846" t="s">
        <v>3022</v>
      </c>
      <c r="B846" t="s">
        <v>224</v>
      </c>
      <c r="C846" t="s">
        <v>47</v>
      </c>
      <c r="D846" t="s">
        <v>3023</v>
      </c>
      <c r="E846" t="s">
        <v>382</v>
      </c>
      <c r="F846">
        <v>32</v>
      </c>
      <c r="G846">
        <v>63</v>
      </c>
      <c r="H846">
        <v>92</v>
      </c>
      <c r="I846" s="1">
        <v>4.9000000000000004</v>
      </c>
      <c r="J846" s="2">
        <v>45613</v>
      </c>
      <c r="K846" s="2">
        <v>45498</v>
      </c>
      <c r="L846" s="2">
        <v>45605</v>
      </c>
      <c r="M846" t="s">
        <v>3024</v>
      </c>
      <c r="N846">
        <v>84</v>
      </c>
      <c r="O846">
        <v>34</v>
      </c>
      <c r="P846" t="s">
        <v>26</v>
      </c>
      <c r="Q846" t="str">
        <f t="shared" si="55"/>
        <v>Expiry before Received</v>
      </c>
      <c r="R846" s="3">
        <f t="shared" si="53"/>
        <v>156.80000000000001</v>
      </c>
      <c r="S846">
        <f t="shared" si="52"/>
        <v>31</v>
      </c>
      <c r="T846" t="str">
        <f t="shared" si="54"/>
        <v>Reorder Required</v>
      </c>
    </row>
    <row r="847" spans="1:20" x14ac:dyDescent="0.3">
      <c r="A847" t="s">
        <v>3025</v>
      </c>
      <c r="B847" t="s">
        <v>46</v>
      </c>
      <c r="C847" t="s">
        <v>47</v>
      </c>
      <c r="D847" t="s">
        <v>3026</v>
      </c>
      <c r="E847" t="s">
        <v>1283</v>
      </c>
      <c r="F847">
        <v>40</v>
      </c>
      <c r="G847">
        <v>3</v>
      </c>
      <c r="H847">
        <v>5</v>
      </c>
      <c r="I847" s="1">
        <v>4</v>
      </c>
      <c r="J847" s="2">
        <v>45355</v>
      </c>
      <c r="K847" s="2">
        <v>45458</v>
      </c>
      <c r="L847" s="2">
        <v>45467</v>
      </c>
      <c r="M847" t="s">
        <v>3027</v>
      </c>
      <c r="N847">
        <v>45</v>
      </c>
      <c r="O847">
        <v>69</v>
      </c>
      <c r="P847" t="s">
        <v>26</v>
      </c>
      <c r="Q847" t="str">
        <f t="shared" si="55"/>
        <v>OK</v>
      </c>
      <c r="R847" s="3">
        <f t="shared" si="53"/>
        <v>160</v>
      </c>
      <c r="S847">
        <f t="shared" si="52"/>
        <v>0</v>
      </c>
      <c r="T847" t="str">
        <f t="shared" si="54"/>
        <v>Sufficient Stock</v>
      </c>
    </row>
    <row r="848" spans="1:20" x14ac:dyDescent="0.3">
      <c r="A848" t="s">
        <v>3028</v>
      </c>
      <c r="B848" t="s">
        <v>63</v>
      </c>
      <c r="C848" t="s">
        <v>64</v>
      </c>
      <c r="D848" t="s">
        <v>3029</v>
      </c>
      <c r="E848" t="s">
        <v>1461</v>
      </c>
      <c r="F848">
        <v>50</v>
      </c>
      <c r="G848">
        <v>66</v>
      </c>
      <c r="H848">
        <v>1</v>
      </c>
      <c r="I848" s="1">
        <v>2.5</v>
      </c>
      <c r="J848" s="2">
        <v>45587</v>
      </c>
      <c r="K848" s="2">
        <v>45633</v>
      </c>
      <c r="L848" s="2">
        <v>45692</v>
      </c>
      <c r="M848" t="s">
        <v>3030</v>
      </c>
      <c r="N848">
        <v>76</v>
      </c>
      <c r="O848">
        <v>73</v>
      </c>
      <c r="P848" t="s">
        <v>44</v>
      </c>
      <c r="Q848" t="str">
        <f t="shared" si="55"/>
        <v>OK</v>
      </c>
      <c r="R848" s="3">
        <f t="shared" si="53"/>
        <v>125</v>
      </c>
      <c r="S848">
        <f t="shared" si="52"/>
        <v>16</v>
      </c>
      <c r="T848" t="str">
        <f t="shared" si="54"/>
        <v>Reorder Required</v>
      </c>
    </row>
    <row r="849" spans="1:20" x14ac:dyDescent="0.3">
      <c r="A849" t="s">
        <v>3031</v>
      </c>
      <c r="B849" t="s">
        <v>532</v>
      </c>
      <c r="C849" t="s">
        <v>132</v>
      </c>
      <c r="D849" t="s">
        <v>3032</v>
      </c>
      <c r="E849" t="s">
        <v>1673</v>
      </c>
      <c r="F849">
        <v>72</v>
      </c>
      <c r="G849">
        <v>29</v>
      </c>
      <c r="H849">
        <v>10</v>
      </c>
      <c r="I849" s="1">
        <v>8</v>
      </c>
      <c r="J849" s="2">
        <v>45357</v>
      </c>
      <c r="K849" s="2">
        <v>45389</v>
      </c>
      <c r="L849" s="2">
        <v>45375</v>
      </c>
      <c r="M849" t="s">
        <v>3033</v>
      </c>
      <c r="N849">
        <v>54</v>
      </c>
      <c r="O849">
        <v>38</v>
      </c>
      <c r="P849" t="s">
        <v>26</v>
      </c>
      <c r="Q849" t="str">
        <f t="shared" si="55"/>
        <v>OK</v>
      </c>
      <c r="R849" s="3">
        <f t="shared" si="53"/>
        <v>576</v>
      </c>
      <c r="S849">
        <f t="shared" si="52"/>
        <v>0</v>
      </c>
      <c r="T849" t="str">
        <f t="shared" si="54"/>
        <v>Sufficient Stock</v>
      </c>
    </row>
    <row r="850" spans="1:20" x14ac:dyDescent="0.3">
      <c r="A850" t="s">
        <v>3034</v>
      </c>
      <c r="B850" t="s">
        <v>545</v>
      </c>
      <c r="C850" t="s">
        <v>47</v>
      </c>
      <c r="D850" t="s">
        <v>3035</v>
      </c>
      <c r="E850" t="s">
        <v>394</v>
      </c>
      <c r="F850">
        <v>22</v>
      </c>
      <c r="G850">
        <v>35</v>
      </c>
      <c r="H850">
        <v>55</v>
      </c>
      <c r="I850" s="1">
        <v>6</v>
      </c>
      <c r="J850" s="2">
        <v>45534</v>
      </c>
      <c r="K850" s="2">
        <v>45531</v>
      </c>
      <c r="L850" s="2">
        <v>45591</v>
      </c>
      <c r="M850" t="s">
        <v>3036</v>
      </c>
      <c r="N850">
        <v>41</v>
      </c>
      <c r="O850">
        <v>27</v>
      </c>
      <c r="P850" t="s">
        <v>44</v>
      </c>
      <c r="Q850" t="str">
        <f t="shared" si="55"/>
        <v>Last Order before Received</v>
      </c>
      <c r="R850" s="3">
        <f t="shared" si="53"/>
        <v>132</v>
      </c>
      <c r="S850">
        <f t="shared" si="52"/>
        <v>13</v>
      </c>
      <c r="T850" t="str">
        <f t="shared" si="54"/>
        <v>Reorder Required</v>
      </c>
    </row>
    <row r="851" spans="1:20" x14ac:dyDescent="0.3">
      <c r="A851" t="s">
        <v>3037</v>
      </c>
      <c r="B851" t="s">
        <v>445</v>
      </c>
      <c r="C851" t="s">
        <v>89</v>
      </c>
      <c r="D851" t="s">
        <v>3038</v>
      </c>
      <c r="E851" t="s">
        <v>1450</v>
      </c>
      <c r="F851">
        <v>23</v>
      </c>
      <c r="G851">
        <v>76</v>
      </c>
      <c r="H851">
        <v>70</v>
      </c>
      <c r="I851" s="1">
        <v>5</v>
      </c>
      <c r="J851" s="2">
        <v>45664</v>
      </c>
      <c r="K851" s="2">
        <v>45554</v>
      </c>
      <c r="L851" s="2">
        <v>45536</v>
      </c>
      <c r="M851" t="s">
        <v>3039</v>
      </c>
      <c r="N851">
        <v>97</v>
      </c>
      <c r="O851">
        <v>38</v>
      </c>
      <c r="P851" t="s">
        <v>38</v>
      </c>
      <c r="Q851" t="str">
        <f t="shared" si="55"/>
        <v>Expiry before Received</v>
      </c>
      <c r="R851" s="3">
        <f t="shared" si="53"/>
        <v>115</v>
      </c>
      <c r="S851">
        <f t="shared" si="52"/>
        <v>53</v>
      </c>
      <c r="T851" t="str">
        <f t="shared" si="54"/>
        <v>Reorder Required</v>
      </c>
    </row>
    <row r="852" spans="1:20" x14ac:dyDescent="0.3">
      <c r="A852" t="s">
        <v>3040</v>
      </c>
      <c r="B852" t="s">
        <v>1166</v>
      </c>
      <c r="C852" t="s">
        <v>132</v>
      </c>
      <c r="D852" t="s">
        <v>3041</v>
      </c>
      <c r="E852" t="s">
        <v>1335</v>
      </c>
      <c r="F852">
        <v>35</v>
      </c>
      <c r="G852">
        <v>72</v>
      </c>
      <c r="H852">
        <v>70</v>
      </c>
      <c r="I852" s="1">
        <v>20</v>
      </c>
      <c r="J852" s="2">
        <v>45399</v>
      </c>
      <c r="K852" s="2">
        <v>45386</v>
      </c>
      <c r="L852" s="2">
        <v>45698</v>
      </c>
      <c r="M852" t="s">
        <v>3042</v>
      </c>
      <c r="N852">
        <v>74</v>
      </c>
      <c r="O852">
        <v>15</v>
      </c>
      <c r="P852" t="s">
        <v>38</v>
      </c>
      <c r="Q852" t="str">
        <f t="shared" si="55"/>
        <v>Last Order before Received</v>
      </c>
      <c r="R852" s="3">
        <f t="shared" si="53"/>
        <v>700</v>
      </c>
      <c r="S852">
        <f t="shared" si="52"/>
        <v>37</v>
      </c>
      <c r="T852" t="str">
        <f t="shared" si="54"/>
        <v>Reorder Required</v>
      </c>
    </row>
    <row r="853" spans="1:20" x14ac:dyDescent="0.3">
      <c r="A853" t="s">
        <v>3043</v>
      </c>
      <c r="B853" t="s">
        <v>176</v>
      </c>
      <c r="C853" t="s">
        <v>47</v>
      </c>
      <c r="D853" t="s">
        <v>3044</v>
      </c>
      <c r="E853" t="s">
        <v>1700</v>
      </c>
      <c r="F853">
        <v>12</v>
      </c>
      <c r="G853">
        <v>93</v>
      </c>
      <c r="H853">
        <v>29</v>
      </c>
      <c r="I853" s="1">
        <v>1.75</v>
      </c>
      <c r="J853" s="2">
        <v>45708</v>
      </c>
      <c r="K853" s="2">
        <v>45632</v>
      </c>
      <c r="L853" s="2">
        <v>45519</v>
      </c>
      <c r="M853" t="s">
        <v>3045</v>
      </c>
      <c r="N853">
        <v>45</v>
      </c>
      <c r="O853">
        <v>12</v>
      </c>
      <c r="P853" t="s">
        <v>38</v>
      </c>
      <c r="Q853" t="str">
        <f t="shared" si="55"/>
        <v>Expiry before Received</v>
      </c>
      <c r="R853" s="3">
        <f t="shared" si="53"/>
        <v>21</v>
      </c>
      <c r="S853">
        <f t="shared" si="52"/>
        <v>81</v>
      </c>
      <c r="T853" t="str">
        <f t="shared" si="54"/>
        <v>Reorder Required</v>
      </c>
    </row>
    <row r="854" spans="1:20" x14ac:dyDescent="0.3">
      <c r="A854" t="s">
        <v>3046</v>
      </c>
      <c r="B854" t="s">
        <v>719</v>
      </c>
      <c r="C854" t="s">
        <v>64</v>
      </c>
      <c r="D854" t="s">
        <v>3047</v>
      </c>
      <c r="E854" t="s">
        <v>1078</v>
      </c>
      <c r="F854">
        <v>86</v>
      </c>
      <c r="G854">
        <v>23</v>
      </c>
      <c r="H854">
        <v>1</v>
      </c>
      <c r="I854" s="1">
        <v>9</v>
      </c>
      <c r="J854" s="2">
        <v>45463</v>
      </c>
      <c r="K854" s="2">
        <v>45431</v>
      </c>
      <c r="L854" s="2">
        <v>45374</v>
      </c>
      <c r="M854" t="s">
        <v>3048</v>
      </c>
      <c r="N854">
        <v>100</v>
      </c>
      <c r="O854">
        <v>86</v>
      </c>
      <c r="P854" t="s">
        <v>38</v>
      </c>
      <c r="Q854" t="str">
        <f t="shared" si="55"/>
        <v>Expiry before Received</v>
      </c>
      <c r="R854" s="3">
        <f t="shared" si="53"/>
        <v>774</v>
      </c>
      <c r="S854">
        <f t="shared" si="52"/>
        <v>0</v>
      </c>
      <c r="T854" t="str">
        <f t="shared" si="54"/>
        <v>Sufficient Stock</v>
      </c>
    </row>
    <row r="855" spans="1:20" x14ac:dyDescent="0.3">
      <c r="A855" t="s">
        <v>3049</v>
      </c>
      <c r="B855" t="s">
        <v>1042</v>
      </c>
      <c r="C855" t="s">
        <v>132</v>
      </c>
      <c r="D855" t="s">
        <v>3050</v>
      </c>
      <c r="E855" t="s">
        <v>489</v>
      </c>
      <c r="F855">
        <v>91</v>
      </c>
      <c r="G855">
        <v>96</v>
      </c>
      <c r="H855">
        <v>90</v>
      </c>
      <c r="I855" s="1">
        <v>7.5</v>
      </c>
      <c r="J855" s="2">
        <v>45702</v>
      </c>
      <c r="K855" s="2">
        <v>45515</v>
      </c>
      <c r="L855" s="2">
        <v>45650</v>
      </c>
      <c r="M855" t="s">
        <v>3051</v>
      </c>
      <c r="N855">
        <v>90</v>
      </c>
      <c r="O855">
        <v>75</v>
      </c>
      <c r="P855" t="s">
        <v>38</v>
      </c>
      <c r="Q855" t="str">
        <f t="shared" si="55"/>
        <v>Expiry before Received</v>
      </c>
      <c r="R855" s="3">
        <f t="shared" si="53"/>
        <v>682.5</v>
      </c>
      <c r="S855">
        <f t="shared" si="52"/>
        <v>5</v>
      </c>
      <c r="T855" t="str">
        <f t="shared" si="54"/>
        <v>Reorder Required</v>
      </c>
    </row>
    <row r="856" spans="1:20" x14ac:dyDescent="0.3">
      <c r="A856" t="s">
        <v>3052</v>
      </c>
      <c r="B856" t="s">
        <v>1192</v>
      </c>
      <c r="C856" t="s">
        <v>64</v>
      </c>
      <c r="D856" t="s">
        <v>3053</v>
      </c>
      <c r="E856" t="s">
        <v>1985</v>
      </c>
      <c r="F856">
        <v>23</v>
      </c>
      <c r="G856">
        <v>99</v>
      </c>
      <c r="H856">
        <v>97</v>
      </c>
      <c r="I856" s="1">
        <v>2</v>
      </c>
      <c r="J856" s="2">
        <v>45452</v>
      </c>
      <c r="K856" s="2">
        <v>45388</v>
      </c>
      <c r="L856" s="2">
        <v>45392</v>
      </c>
      <c r="M856" t="s">
        <v>3054</v>
      </c>
      <c r="N856">
        <v>68</v>
      </c>
      <c r="O856">
        <v>76</v>
      </c>
      <c r="P856" t="s">
        <v>26</v>
      </c>
      <c r="Q856" t="str">
        <f t="shared" si="55"/>
        <v>Expiry before Received</v>
      </c>
      <c r="R856" s="3">
        <f t="shared" si="53"/>
        <v>46</v>
      </c>
      <c r="S856">
        <f t="shared" si="52"/>
        <v>76</v>
      </c>
      <c r="T856" t="str">
        <f t="shared" si="54"/>
        <v>Reorder Required</v>
      </c>
    </row>
    <row r="857" spans="1:20" x14ac:dyDescent="0.3">
      <c r="A857" t="s">
        <v>3055</v>
      </c>
      <c r="B857" t="s">
        <v>201</v>
      </c>
      <c r="C857" t="s">
        <v>47</v>
      </c>
      <c r="D857" t="s">
        <v>3056</v>
      </c>
      <c r="E857" t="s">
        <v>378</v>
      </c>
      <c r="F857">
        <v>98</v>
      </c>
      <c r="G857">
        <v>40</v>
      </c>
      <c r="H857">
        <v>100</v>
      </c>
      <c r="I857" s="1">
        <v>2</v>
      </c>
      <c r="J857" s="2">
        <v>45691</v>
      </c>
      <c r="K857" s="2">
        <v>45595</v>
      </c>
      <c r="L857" s="2">
        <v>45645</v>
      </c>
      <c r="M857" t="s">
        <v>3057</v>
      </c>
      <c r="N857">
        <v>46</v>
      </c>
      <c r="O857">
        <v>9</v>
      </c>
      <c r="P857" t="s">
        <v>44</v>
      </c>
      <c r="Q857" t="str">
        <f t="shared" si="55"/>
        <v>Expiry before Received</v>
      </c>
      <c r="R857" s="3">
        <f t="shared" si="53"/>
        <v>196</v>
      </c>
      <c r="S857">
        <f t="shared" si="52"/>
        <v>0</v>
      </c>
      <c r="T857" t="str">
        <f t="shared" si="54"/>
        <v>Sufficient Stock</v>
      </c>
    </row>
    <row r="858" spans="1:20" x14ac:dyDescent="0.3">
      <c r="A858" t="s">
        <v>3058</v>
      </c>
      <c r="B858" t="s">
        <v>2257</v>
      </c>
      <c r="C858" t="s">
        <v>47</v>
      </c>
      <c r="D858" t="s">
        <v>3059</v>
      </c>
      <c r="E858" t="s">
        <v>95</v>
      </c>
      <c r="F858">
        <v>29</v>
      </c>
      <c r="G858">
        <v>66</v>
      </c>
      <c r="H858">
        <v>21</v>
      </c>
      <c r="I858" s="1">
        <v>8</v>
      </c>
      <c r="J858" s="2">
        <v>45594</v>
      </c>
      <c r="K858" s="2">
        <v>45484</v>
      </c>
      <c r="L858" s="2">
        <v>45603</v>
      </c>
      <c r="M858" t="s">
        <v>3060</v>
      </c>
      <c r="N858">
        <v>74</v>
      </c>
      <c r="O858">
        <v>93</v>
      </c>
      <c r="P858" t="s">
        <v>26</v>
      </c>
      <c r="Q858" t="str">
        <f t="shared" si="55"/>
        <v>Last Order before Received</v>
      </c>
      <c r="R858" s="3">
        <f t="shared" si="53"/>
        <v>232</v>
      </c>
      <c r="S858">
        <f t="shared" si="52"/>
        <v>37</v>
      </c>
      <c r="T858" t="str">
        <f t="shared" si="54"/>
        <v>Reorder Required</v>
      </c>
    </row>
    <row r="859" spans="1:20" x14ac:dyDescent="0.3">
      <c r="A859" t="s">
        <v>3061</v>
      </c>
      <c r="B859" t="s">
        <v>528</v>
      </c>
      <c r="C859" t="s">
        <v>47</v>
      </c>
      <c r="D859" t="s">
        <v>3062</v>
      </c>
      <c r="E859" t="s">
        <v>3063</v>
      </c>
      <c r="F859">
        <v>32</v>
      </c>
      <c r="G859">
        <v>27</v>
      </c>
      <c r="H859">
        <v>26</v>
      </c>
      <c r="I859" s="1">
        <v>5</v>
      </c>
      <c r="J859" s="2">
        <v>45442</v>
      </c>
      <c r="K859" s="2">
        <v>45616</v>
      </c>
      <c r="L859" s="2">
        <v>45671</v>
      </c>
      <c r="M859" t="s">
        <v>3064</v>
      </c>
      <c r="N859">
        <v>38</v>
      </c>
      <c r="O859">
        <v>79</v>
      </c>
      <c r="P859" t="s">
        <v>38</v>
      </c>
      <c r="Q859" t="str">
        <f t="shared" si="55"/>
        <v>OK</v>
      </c>
      <c r="R859" s="3">
        <f t="shared" si="53"/>
        <v>160</v>
      </c>
      <c r="S859">
        <f t="shared" si="52"/>
        <v>0</v>
      </c>
      <c r="T859" t="str">
        <f t="shared" si="54"/>
        <v>Sufficient Stock</v>
      </c>
    </row>
    <row r="860" spans="1:20" x14ac:dyDescent="0.3">
      <c r="A860" t="s">
        <v>3065</v>
      </c>
      <c r="B860" t="s">
        <v>171</v>
      </c>
      <c r="C860" t="s">
        <v>47</v>
      </c>
      <c r="D860" t="s">
        <v>3066</v>
      </c>
      <c r="E860" t="s">
        <v>995</v>
      </c>
      <c r="F860">
        <v>84</v>
      </c>
      <c r="G860">
        <v>74</v>
      </c>
      <c r="H860">
        <v>48</v>
      </c>
      <c r="I860" s="1">
        <v>4.5</v>
      </c>
      <c r="J860" s="2">
        <v>45650</v>
      </c>
      <c r="K860" s="2">
        <v>45582</v>
      </c>
      <c r="L860" s="2">
        <v>45436</v>
      </c>
      <c r="M860" t="s">
        <v>3067</v>
      </c>
      <c r="N860">
        <v>64</v>
      </c>
      <c r="O860">
        <v>32</v>
      </c>
      <c r="P860" t="s">
        <v>38</v>
      </c>
      <c r="Q860" t="str">
        <f t="shared" si="55"/>
        <v>Expiry before Received</v>
      </c>
      <c r="R860" s="3">
        <f t="shared" si="53"/>
        <v>378</v>
      </c>
      <c r="S860">
        <f t="shared" si="52"/>
        <v>0</v>
      </c>
      <c r="T860" t="str">
        <f t="shared" si="54"/>
        <v>Sufficient Stock</v>
      </c>
    </row>
    <row r="861" spans="1:20" x14ac:dyDescent="0.3">
      <c r="A861" t="s">
        <v>3068</v>
      </c>
      <c r="B861" t="s">
        <v>1218</v>
      </c>
      <c r="C861" t="s">
        <v>64</v>
      </c>
      <c r="D861" t="s">
        <v>3069</v>
      </c>
      <c r="E861" t="s">
        <v>618</v>
      </c>
      <c r="F861">
        <v>86</v>
      </c>
      <c r="G861">
        <v>20</v>
      </c>
      <c r="H861">
        <v>67</v>
      </c>
      <c r="I861" s="1">
        <v>1.75</v>
      </c>
      <c r="J861" s="2">
        <v>45700</v>
      </c>
      <c r="K861" s="2">
        <v>45480</v>
      </c>
      <c r="L861" s="2">
        <v>45507</v>
      </c>
      <c r="M861" t="s">
        <v>3070</v>
      </c>
      <c r="N861">
        <v>83</v>
      </c>
      <c r="O861">
        <v>82</v>
      </c>
      <c r="P861" t="s">
        <v>26</v>
      </c>
      <c r="Q861" t="str">
        <f t="shared" si="55"/>
        <v>Expiry before Received</v>
      </c>
      <c r="R861" s="3">
        <f t="shared" si="53"/>
        <v>150.5</v>
      </c>
      <c r="S861">
        <f t="shared" si="52"/>
        <v>0</v>
      </c>
      <c r="T861" t="str">
        <f t="shared" si="54"/>
        <v>Sufficient Stock</v>
      </c>
    </row>
    <row r="862" spans="1:20" x14ac:dyDescent="0.3">
      <c r="A862" t="s">
        <v>3071</v>
      </c>
      <c r="B862" t="s">
        <v>34</v>
      </c>
      <c r="C862" t="s">
        <v>22</v>
      </c>
      <c r="D862" t="s">
        <v>3072</v>
      </c>
      <c r="E862" t="s">
        <v>2866</v>
      </c>
      <c r="F862">
        <v>11</v>
      </c>
      <c r="G862">
        <v>58</v>
      </c>
      <c r="H862">
        <v>26</v>
      </c>
      <c r="I862" s="1">
        <v>6.2</v>
      </c>
      <c r="J862" s="2">
        <v>45449</v>
      </c>
      <c r="K862" s="2">
        <v>45629</v>
      </c>
      <c r="L862" s="2">
        <v>45481</v>
      </c>
      <c r="M862" t="s">
        <v>3073</v>
      </c>
      <c r="N862">
        <v>49</v>
      </c>
      <c r="O862">
        <v>34</v>
      </c>
      <c r="P862" t="s">
        <v>44</v>
      </c>
      <c r="Q862" t="str">
        <f t="shared" si="55"/>
        <v>OK</v>
      </c>
      <c r="R862" s="3">
        <f t="shared" si="53"/>
        <v>68.2</v>
      </c>
      <c r="S862">
        <f t="shared" si="52"/>
        <v>47</v>
      </c>
      <c r="T862" t="str">
        <f t="shared" si="54"/>
        <v>Reorder Required</v>
      </c>
    </row>
    <row r="863" spans="1:20" x14ac:dyDescent="0.3">
      <c r="A863" t="s">
        <v>3074</v>
      </c>
      <c r="B863" t="s">
        <v>771</v>
      </c>
      <c r="C863" t="s">
        <v>22</v>
      </c>
      <c r="D863" t="s">
        <v>3075</v>
      </c>
      <c r="E863" t="s">
        <v>907</v>
      </c>
      <c r="F863">
        <v>60</v>
      </c>
      <c r="G863">
        <v>69</v>
      </c>
      <c r="H863">
        <v>64</v>
      </c>
      <c r="I863" s="1">
        <v>2.75</v>
      </c>
      <c r="J863" s="2">
        <v>45711</v>
      </c>
      <c r="K863" s="2">
        <v>45360</v>
      </c>
      <c r="L863" s="2">
        <v>45659</v>
      </c>
      <c r="M863" t="s">
        <v>3076</v>
      </c>
      <c r="N863">
        <v>51</v>
      </c>
      <c r="O863">
        <v>6</v>
      </c>
      <c r="P863" t="s">
        <v>44</v>
      </c>
      <c r="Q863" t="str">
        <f t="shared" si="55"/>
        <v>Expiry before Received</v>
      </c>
      <c r="R863" s="3">
        <f t="shared" si="53"/>
        <v>165</v>
      </c>
      <c r="S863">
        <f t="shared" si="52"/>
        <v>9</v>
      </c>
      <c r="T863" t="str">
        <f t="shared" si="54"/>
        <v>Reorder Required</v>
      </c>
    </row>
    <row r="864" spans="1:20" x14ac:dyDescent="0.3">
      <c r="A864" t="s">
        <v>3077</v>
      </c>
      <c r="B864" t="s">
        <v>1551</v>
      </c>
      <c r="C864" t="s">
        <v>89</v>
      </c>
      <c r="D864" t="s">
        <v>3078</v>
      </c>
      <c r="E864" t="s">
        <v>1283</v>
      </c>
      <c r="F864">
        <v>58</v>
      </c>
      <c r="G864">
        <v>48</v>
      </c>
      <c r="H864">
        <v>9</v>
      </c>
      <c r="I864" s="1">
        <v>3.5</v>
      </c>
      <c r="J864" s="2">
        <v>45633</v>
      </c>
      <c r="K864" s="2">
        <v>45507</v>
      </c>
      <c r="L864" s="2">
        <v>45370</v>
      </c>
      <c r="M864" t="s">
        <v>3079</v>
      </c>
      <c r="N864">
        <v>98</v>
      </c>
      <c r="O864">
        <v>69</v>
      </c>
      <c r="P864" t="s">
        <v>44</v>
      </c>
      <c r="Q864" t="str">
        <f t="shared" si="55"/>
        <v>Expiry before Received</v>
      </c>
      <c r="R864" s="3">
        <f t="shared" si="53"/>
        <v>203</v>
      </c>
      <c r="S864">
        <f t="shared" si="52"/>
        <v>0</v>
      </c>
      <c r="T864" t="str">
        <f t="shared" si="54"/>
        <v>Sufficient Stock</v>
      </c>
    </row>
    <row r="865" spans="1:20" x14ac:dyDescent="0.3">
      <c r="A865" t="s">
        <v>3080</v>
      </c>
      <c r="B865" t="s">
        <v>328</v>
      </c>
      <c r="C865" t="s">
        <v>64</v>
      </c>
      <c r="D865" t="s">
        <v>3081</v>
      </c>
      <c r="E865" t="s">
        <v>579</v>
      </c>
      <c r="F865">
        <v>64</v>
      </c>
      <c r="G865">
        <v>95</v>
      </c>
      <c r="H865">
        <v>62</v>
      </c>
      <c r="I865" s="1">
        <v>6</v>
      </c>
      <c r="J865" s="2">
        <v>45436</v>
      </c>
      <c r="K865" s="2">
        <v>45526</v>
      </c>
      <c r="L865" s="2">
        <v>45429</v>
      </c>
      <c r="M865" t="s">
        <v>3082</v>
      </c>
      <c r="N865">
        <v>55</v>
      </c>
      <c r="O865">
        <v>1</v>
      </c>
      <c r="P865" t="s">
        <v>26</v>
      </c>
      <c r="Q865" t="str">
        <f t="shared" si="55"/>
        <v>Expiry before Received</v>
      </c>
      <c r="R865" s="3">
        <f t="shared" si="53"/>
        <v>384</v>
      </c>
      <c r="S865">
        <f t="shared" si="52"/>
        <v>31</v>
      </c>
      <c r="T865" t="str">
        <f t="shared" si="54"/>
        <v>Reorder Required</v>
      </c>
    </row>
    <row r="866" spans="1:20" x14ac:dyDescent="0.3">
      <c r="A866" t="s">
        <v>3083</v>
      </c>
      <c r="B866" t="s">
        <v>599</v>
      </c>
      <c r="C866" t="s">
        <v>58</v>
      </c>
      <c r="D866" t="s">
        <v>3084</v>
      </c>
      <c r="E866" t="s">
        <v>951</v>
      </c>
      <c r="F866">
        <v>19</v>
      </c>
      <c r="G866">
        <v>80</v>
      </c>
      <c r="H866">
        <v>87</v>
      </c>
      <c r="I866" s="1">
        <v>2.2999999999999998</v>
      </c>
      <c r="J866" s="2">
        <v>45576</v>
      </c>
      <c r="K866" s="2">
        <v>45588</v>
      </c>
      <c r="L866" s="2">
        <v>45656</v>
      </c>
      <c r="M866" t="s">
        <v>3085</v>
      </c>
      <c r="N866">
        <v>33</v>
      </c>
      <c r="O866">
        <v>38</v>
      </c>
      <c r="P866" t="s">
        <v>38</v>
      </c>
      <c r="Q866" t="str">
        <f t="shared" si="55"/>
        <v>OK</v>
      </c>
      <c r="R866" s="3">
        <f t="shared" si="53"/>
        <v>43.699999999999996</v>
      </c>
      <c r="S866">
        <f t="shared" si="52"/>
        <v>61</v>
      </c>
      <c r="T866" t="str">
        <f t="shared" si="54"/>
        <v>Reorder Required</v>
      </c>
    </row>
    <row r="867" spans="1:20" x14ac:dyDescent="0.3">
      <c r="A867" t="s">
        <v>3086</v>
      </c>
      <c r="B867" t="s">
        <v>2257</v>
      </c>
      <c r="C867" t="s">
        <v>47</v>
      </c>
      <c r="D867" t="s">
        <v>3087</v>
      </c>
      <c r="E867" t="s">
        <v>139</v>
      </c>
      <c r="F867">
        <v>43</v>
      </c>
      <c r="G867">
        <v>41</v>
      </c>
      <c r="H867">
        <v>100</v>
      </c>
      <c r="I867" s="1">
        <v>8</v>
      </c>
      <c r="J867" s="2">
        <v>45459</v>
      </c>
      <c r="K867" s="2">
        <v>45390</v>
      </c>
      <c r="L867" s="2">
        <v>45444</v>
      </c>
      <c r="M867" t="s">
        <v>3088</v>
      </c>
      <c r="N867">
        <v>27</v>
      </c>
      <c r="O867">
        <v>78</v>
      </c>
      <c r="P867" t="s">
        <v>44</v>
      </c>
      <c r="Q867" t="str">
        <f t="shared" si="55"/>
        <v>Expiry before Received</v>
      </c>
      <c r="R867" s="3">
        <f t="shared" si="53"/>
        <v>344</v>
      </c>
      <c r="S867">
        <f t="shared" si="52"/>
        <v>0</v>
      </c>
      <c r="T867" t="str">
        <f t="shared" si="54"/>
        <v>Sufficient Stock</v>
      </c>
    </row>
    <row r="868" spans="1:20" x14ac:dyDescent="0.3">
      <c r="A868" t="s">
        <v>3089</v>
      </c>
      <c r="B868" t="s">
        <v>435</v>
      </c>
      <c r="C868" t="s">
        <v>58</v>
      </c>
      <c r="D868" t="s">
        <v>3090</v>
      </c>
      <c r="E868" t="s">
        <v>394</v>
      </c>
      <c r="F868">
        <v>38</v>
      </c>
      <c r="G868">
        <v>62</v>
      </c>
      <c r="H868">
        <v>47</v>
      </c>
      <c r="I868" s="1">
        <v>4</v>
      </c>
      <c r="J868" s="2">
        <v>45628</v>
      </c>
      <c r="K868" s="2">
        <v>45638</v>
      </c>
      <c r="L868" s="2">
        <v>45609</v>
      </c>
      <c r="M868" t="s">
        <v>3091</v>
      </c>
      <c r="N868">
        <v>41</v>
      </c>
      <c r="O868">
        <v>34</v>
      </c>
      <c r="P868" t="s">
        <v>26</v>
      </c>
      <c r="Q868" t="str">
        <f t="shared" si="55"/>
        <v>Expiry before Received</v>
      </c>
      <c r="R868" s="3">
        <f t="shared" si="53"/>
        <v>152</v>
      </c>
      <c r="S868">
        <f t="shared" si="52"/>
        <v>24</v>
      </c>
      <c r="T868" t="str">
        <f t="shared" si="54"/>
        <v>Reorder Required</v>
      </c>
    </row>
    <row r="869" spans="1:20" x14ac:dyDescent="0.3">
      <c r="A869" t="s">
        <v>3092</v>
      </c>
      <c r="B869" t="s">
        <v>629</v>
      </c>
      <c r="C869" t="s">
        <v>64</v>
      </c>
      <c r="D869" t="s">
        <v>3093</v>
      </c>
      <c r="E869" t="s">
        <v>1516</v>
      </c>
      <c r="F869">
        <v>70</v>
      </c>
      <c r="G869">
        <v>66</v>
      </c>
      <c r="H869">
        <v>74</v>
      </c>
      <c r="I869" s="1">
        <v>2.5</v>
      </c>
      <c r="J869" s="2">
        <v>45607</v>
      </c>
      <c r="K869" s="2">
        <v>45484</v>
      </c>
      <c r="L869" s="2">
        <v>45379</v>
      </c>
      <c r="M869" t="s">
        <v>3094</v>
      </c>
      <c r="N869">
        <v>47</v>
      </c>
      <c r="O869">
        <v>77</v>
      </c>
      <c r="P869" t="s">
        <v>44</v>
      </c>
      <c r="Q869" t="str">
        <f t="shared" si="55"/>
        <v>Expiry before Received</v>
      </c>
      <c r="R869" s="3">
        <f t="shared" si="53"/>
        <v>175</v>
      </c>
      <c r="S869">
        <f t="shared" si="52"/>
        <v>0</v>
      </c>
      <c r="T869" t="str">
        <f t="shared" si="54"/>
        <v>Sufficient Stock</v>
      </c>
    </row>
    <row r="870" spans="1:20" x14ac:dyDescent="0.3">
      <c r="A870" t="s">
        <v>3095</v>
      </c>
      <c r="B870" t="s">
        <v>751</v>
      </c>
      <c r="C870" t="s">
        <v>47</v>
      </c>
      <c r="D870" t="s">
        <v>3096</v>
      </c>
      <c r="E870" t="s">
        <v>802</v>
      </c>
      <c r="F870">
        <v>18</v>
      </c>
      <c r="G870">
        <v>3</v>
      </c>
      <c r="H870">
        <v>39</v>
      </c>
      <c r="I870" s="1">
        <v>5</v>
      </c>
      <c r="J870" s="2">
        <v>45583</v>
      </c>
      <c r="K870" s="2">
        <v>45704</v>
      </c>
      <c r="L870" s="2">
        <v>45620</v>
      </c>
      <c r="M870" t="s">
        <v>3097</v>
      </c>
      <c r="N870">
        <v>58</v>
      </c>
      <c r="O870">
        <v>61</v>
      </c>
      <c r="P870" t="s">
        <v>38</v>
      </c>
      <c r="Q870" t="str">
        <f t="shared" si="55"/>
        <v>OK</v>
      </c>
      <c r="R870" s="3">
        <f t="shared" si="53"/>
        <v>90</v>
      </c>
      <c r="S870">
        <f t="shared" si="52"/>
        <v>0</v>
      </c>
      <c r="T870" t="str">
        <f t="shared" si="54"/>
        <v>Sufficient Stock</v>
      </c>
    </row>
    <row r="871" spans="1:20" x14ac:dyDescent="0.3">
      <c r="A871" t="s">
        <v>3098</v>
      </c>
      <c r="B871" t="s">
        <v>1145</v>
      </c>
      <c r="C871" t="s">
        <v>22</v>
      </c>
      <c r="D871" t="s">
        <v>3099</v>
      </c>
      <c r="E871" t="s">
        <v>80</v>
      </c>
      <c r="F871">
        <v>46</v>
      </c>
      <c r="G871">
        <v>81</v>
      </c>
      <c r="H871">
        <v>47</v>
      </c>
      <c r="I871" s="1">
        <v>2.5</v>
      </c>
      <c r="J871" s="2">
        <v>45540</v>
      </c>
      <c r="K871" s="2">
        <v>45546</v>
      </c>
      <c r="L871" s="2">
        <v>45673</v>
      </c>
      <c r="M871" t="s">
        <v>3100</v>
      </c>
      <c r="N871">
        <v>48</v>
      </c>
      <c r="O871">
        <v>48</v>
      </c>
      <c r="P871" t="s">
        <v>44</v>
      </c>
      <c r="Q871" t="str">
        <f t="shared" si="55"/>
        <v>OK</v>
      </c>
      <c r="R871" s="3">
        <f t="shared" si="53"/>
        <v>115</v>
      </c>
      <c r="S871">
        <f t="shared" si="52"/>
        <v>35</v>
      </c>
      <c r="T871" t="str">
        <f t="shared" si="54"/>
        <v>Reorder Required</v>
      </c>
    </row>
    <row r="872" spans="1:20" x14ac:dyDescent="0.3">
      <c r="A872" t="s">
        <v>3101</v>
      </c>
      <c r="B872" t="s">
        <v>28</v>
      </c>
      <c r="C872" t="s">
        <v>29</v>
      </c>
      <c r="D872" t="s">
        <v>3102</v>
      </c>
      <c r="E872" t="s">
        <v>3103</v>
      </c>
      <c r="F872">
        <v>78</v>
      </c>
      <c r="G872">
        <v>34</v>
      </c>
      <c r="H872">
        <v>39</v>
      </c>
      <c r="I872" s="1">
        <v>20.5</v>
      </c>
      <c r="J872" s="2">
        <v>45609</v>
      </c>
      <c r="K872" s="2">
        <v>45530</v>
      </c>
      <c r="L872" s="2">
        <v>45527</v>
      </c>
      <c r="M872" t="s">
        <v>3104</v>
      </c>
      <c r="N872">
        <v>62</v>
      </c>
      <c r="O872">
        <v>2</v>
      </c>
      <c r="P872" t="s">
        <v>44</v>
      </c>
      <c r="Q872" t="str">
        <f t="shared" si="55"/>
        <v>Expiry before Received</v>
      </c>
      <c r="R872" s="3">
        <f t="shared" si="53"/>
        <v>1599</v>
      </c>
      <c r="S872">
        <f t="shared" si="52"/>
        <v>0</v>
      </c>
      <c r="T872" t="str">
        <f t="shared" si="54"/>
        <v>Sufficient Stock</v>
      </c>
    </row>
    <row r="873" spans="1:20" x14ac:dyDescent="0.3">
      <c r="A873" t="s">
        <v>3105</v>
      </c>
      <c r="B873" t="s">
        <v>599</v>
      </c>
      <c r="C873" t="s">
        <v>58</v>
      </c>
      <c r="D873" t="s">
        <v>3106</v>
      </c>
      <c r="E873" t="s">
        <v>394</v>
      </c>
      <c r="F873">
        <v>53</v>
      </c>
      <c r="G873">
        <v>20</v>
      </c>
      <c r="H873">
        <v>75</v>
      </c>
      <c r="I873" s="1">
        <v>2.2999999999999998</v>
      </c>
      <c r="J873" s="2">
        <v>45455</v>
      </c>
      <c r="K873" s="2">
        <v>45566</v>
      </c>
      <c r="L873" s="2">
        <v>45661</v>
      </c>
      <c r="M873" t="s">
        <v>3107</v>
      </c>
      <c r="N873">
        <v>83</v>
      </c>
      <c r="O873">
        <v>77</v>
      </c>
      <c r="P873" t="s">
        <v>38</v>
      </c>
      <c r="Q873" t="str">
        <f t="shared" si="55"/>
        <v>OK</v>
      </c>
      <c r="R873" s="3">
        <f t="shared" si="53"/>
        <v>121.89999999999999</v>
      </c>
      <c r="S873">
        <f t="shared" si="52"/>
        <v>0</v>
      </c>
      <c r="T873" t="str">
        <f t="shared" si="54"/>
        <v>Sufficient Stock</v>
      </c>
    </row>
    <row r="874" spans="1:20" x14ac:dyDescent="0.3">
      <c r="A874" t="s">
        <v>3108</v>
      </c>
      <c r="B874" t="s">
        <v>196</v>
      </c>
      <c r="C874" t="s">
        <v>132</v>
      </c>
      <c r="D874" t="s">
        <v>3109</v>
      </c>
      <c r="E874" t="s">
        <v>655</v>
      </c>
      <c r="F874">
        <v>67</v>
      </c>
      <c r="G874">
        <v>71</v>
      </c>
      <c r="H874">
        <v>4</v>
      </c>
      <c r="I874" s="1">
        <v>9</v>
      </c>
      <c r="J874" s="2">
        <v>45645</v>
      </c>
      <c r="K874" s="2">
        <v>45396</v>
      </c>
      <c r="L874" s="2">
        <v>45481</v>
      </c>
      <c r="M874" t="s">
        <v>3110</v>
      </c>
      <c r="N874">
        <v>76</v>
      </c>
      <c r="O874">
        <v>34</v>
      </c>
      <c r="P874" t="s">
        <v>38</v>
      </c>
      <c r="Q874" t="str">
        <f t="shared" si="55"/>
        <v>Expiry before Received</v>
      </c>
      <c r="R874" s="3">
        <f t="shared" si="53"/>
        <v>603</v>
      </c>
      <c r="S874">
        <f t="shared" si="52"/>
        <v>4</v>
      </c>
      <c r="T874" t="str">
        <f t="shared" si="54"/>
        <v>Reorder Required</v>
      </c>
    </row>
    <row r="875" spans="1:20" x14ac:dyDescent="0.3">
      <c r="A875" t="s">
        <v>3111</v>
      </c>
      <c r="B875" t="s">
        <v>2288</v>
      </c>
      <c r="C875" t="s">
        <v>64</v>
      </c>
      <c r="D875" t="s">
        <v>3112</v>
      </c>
      <c r="E875" t="s">
        <v>2474</v>
      </c>
      <c r="F875">
        <v>36</v>
      </c>
      <c r="G875">
        <v>30</v>
      </c>
      <c r="H875">
        <v>44</v>
      </c>
      <c r="I875" s="1">
        <v>0.2</v>
      </c>
      <c r="J875" s="2">
        <v>45393</v>
      </c>
      <c r="K875" s="2">
        <v>45354</v>
      </c>
      <c r="L875" s="2">
        <v>45438</v>
      </c>
      <c r="M875" t="s">
        <v>3113</v>
      </c>
      <c r="N875">
        <v>68</v>
      </c>
      <c r="O875">
        <v>88</v>
      </c>
      <c r="P875" t="s">
        <v>38</v>
      </c>
      <c r="Q875" t="str">
        <f t="shared" si="55"/>
        <v>Last Order before Received</v>
      </c>
      <c r="R875" s="3">
        <f t="shared" si="53"/>
        <v>7.2</v>
      </c>
      <c r="S875">
        <f t="shared" si="52"/>
        <v>0</v>
      </c>
      <c r="T875" t="str">
        <f t="shared" si="54"/>
        <v>Sufficient Stock</v>
      </c>
    </row>
    <row r="876" spans="1:20" x14ac:dyDescent="0.3">
      <c r="A876" t="s">
        <v>3114</v>
      </c>
      <c r="B876" t="s">
        <v>771</v>
      </c>
      <c r="C876" t="s">
        <v>22</v>
      </c>
      <c r="D876" t="s">
        <v>3115</v>
      </c>
      <c r="E876" t="s">
        <v>3063</v>
      </c>
      <c r="F876">
        <v>39</v>
      </c>
      <c r="G876">
        <v>53</v>
      </c>
      <c r="H876">
        <v>64</v>
      </c>
      <c r="I876" s="1">
        <v>2.75</v>
      </c>
      <c r="J876" s="2">
        <v>45465</v>
      </c>
      <c r="K876" s="2">
        <v>45475</v>
      </c>
      <c r="L876" s="2">
        <v>45653</v>
      </c>
      <c r="M876" t="s">
        <v>3116</v>
      </c>
      <c r="N876">
        <v>92</v>
      </c>
      <c r="O876">
        <v>8</v>
      </c>
      <c r="P876" t="s">
        <v>44</v>
      </c>
      <c r="Q876" t="str">
        <f t="shared" si="55"/>
        <v>OK</v>
      </c>
      <c r="R876" s="3">
        <f t="shared" si="53"/>
        <v>107.25</v>
      </c>
      <c r="S876">
        <f t="shared" si="52"/>
        <v>14</v>
      </c>
      <c r="T876" t="str">
        <f t="shared" si="54"/>
        <v>Reorder Required</v>
      </c>
    </row>
    <row r="877" spans="1:20" x14ac:dyDescent="0.3">
      <c r="A877" t="s">
        <v>3117</v>
      </c>
      <c r="B877" t="s">
        <v>1531</v>
      </c>
      <c r="C877" t="s">
        <v>47</v>
      </c>
      <c r="D877" t="s">
        <v>3118</v>
      </c>
      <c r="E877" t="s">
        <v>2474</v>
      </c>
      <c r="F877">
        <v>95</v>
      </c>
      <c r="G877">
        <v>87</v>
      </c>
      <c r="H877">
        <v>13</v>
      </c>
      <c r="I877" s="1">
        <v>2</v>
      </c>
      <c r="J877" s="2">
        <v>45577</v>
      </c>
      <c r="K877" s="2">
        <v>45353</v>
      </c>
      <c r="L877" s="2">
        <v>45508</v>
      </c>
      <c r="M877" t="s">
        <v>3119</v>
      </c>
      <c r="N877">
        <v>61</v>
      </c>
      <c r="O877">
        <v>4</v>
      </c>
      <c r="P877" t="s">
        <v>38</v>
      </c>
      <c r="Q877" t="str">
        <f t="shared" si="55"/>
        <v>Expiry before Received</v>
      </c>
      <c r="R877" s="3">
        <f t="shared" si="53"/>
        <v>190</v>
      </c>
      <c r="S877">
        <f t="shared" si="52"/>
        <v>0</v>
      </c>
      <c r="T877" t="str">
        <f t="shared" si="54"/>
        <v>Sufficient Stock</v>
      </c>
    </row>
    <row r="878" spans="1:20" x14ac:dyDescent="0.3">
      <c r="A878" t="s">
        <v>3120</v>
      </c>
      <c r="B878" t="s">
        <v>501</v>
      </c>
      <c r="C878" t="s">
        <v>22</v>
      </c>
      <c r="D878" t="s">
        <v>3121</v>
      </c>
      <c r="E878" t="s">
        <v>452</v>
      </c>
      <c r="F878">
        <v>12</v>
      </c>
      <c r="G878">
        <v>56</v>
      </c>
      <c r="H878">
        <v>92</v>
      </c>
      <c r="I878" s="1">
        <v>9.5</v>
      </c>
      <c r="J878" s="2">
        <v>45420</v>
      </c>
      <c r="K878" s="2">
        <v>45641</v>
      </c>
      <c r="L878" s="2">
        <v>45425</v>
      </c>
      <c r="M878" t="s">
        <v>3122</v>
      </c>
      <c r="N878">
        <v>56</v>
      </c>
      <c r="O878">
        <v>6</v>
      </c>
      <c r="P878" t="s">
        <v>44</v>
      </c>
      <c r="Q878" t="str">
        <f t="shared" si="55"/>
        <v>OK</v>
      </c>
      <c r="R878" s="3">
        <f t="shared" si="53"/>
        <v>114</v>
      </c>
      <c r="S878">
        <f t="shared" si="52"/>
        <v>44</v>
      </c>
      <c r="T878" t="str">
        <f t="shared" si="54"/>
        <v>Reorder Required</v>
      </c>
    </row>
    <row r="879" spans="1:20" x14ac:dyDescent="0.3">
      <c r="A879" t="s">
        <v>3123</v>
      </c>
      <c r="B879" t="s">
        <v>1468</v>
      </c>
      <c r="C879" t="s">
        <v>22</v>
      </c>
      <c r="D879" t="s">
        <v>3124</v>
      </c>
      <c r="E879" t="s">
        <v>1011</v>
      </c>
      <c r="F879">
        <v>98</v>
      </c>
      <c r="G879">
        <v>30</v>
      </c>
      <c r="H879">
        <v>39</v>
      </c>
      <c r="I879" s="1">
        <v>10</v>
      </c>
      <c r="J879" s="2">
        <v>45621</v>
      </c>
      <c r="K879" s="2">
        <v>45396</v>
      </c>
      <c r="L879" s="2">
        <v>45514</v>
      </c>
      <c r="M879" t="s">
        <v>3125</v>
      </c>
      <c r="N879">
        <v>31</v>
      </c>
      <c r="O879">
        <v>26</v>
      </c>
      <c r="P879" t="s">
        <v>44</v>
      </c>
      <c r="Q879" t="str">
        <f t="shared" si="55"/>
        <v>Expiry before Received</v>
      </c>
      <c r="R879" s="3">
        <f t="shared" si="53"/>
        <v>980</v>
      </c>
      <c r="S879">
        <f t="shared" si="52"/>
        <v>0</v>
      </c>
      <c r="T879" t="str">
        <f t="shared" si="54"/>
        <v>Sufficient Stock</v>
      </c>
    </row>
    <row r="880" spans="1:20" x14ac:dyDescent="0.3">
      <c r="A880" t="s">
        <v>3126</v>
      </c>
      <c r="B880" t="s">
        <v>467</v>
      </c>
      <c r="C880" t="s">
        <v>22</v>
      </c>
      <c r="D880" t="s">
        <v>3127</v>
      </c>
      <c r="E880" t="s">
        <v>1294</v>
      </c>
      <c r="F880">
        <v>50</v>
      </c>
      <c r="G880">
        <v>14</v>
      </c>
      <c r="H880">
        <v>99</v>
      </c>
      <c r="I880" s="1">
        <v>4.75</v>
      </c>
      <c r="J880" s="2">
        <v>45666</v>
      </c>
      <c r="K880" s="2">
        <v>45379</v>
      </c>
      <c r="L880" s="2">
        <v>45397</v>
      </c>
      <c r="M880" t="s">
        <v>3128</v>
      </c>
      <c r="N880">
        <v>52</v>
      </c>
      <c r="O880">
        <v>75</v>
      </c>
      <c r="P880" t="s">
        <v>44</v>
      </c>
      <c r="Q880" t="str">
        <f t="shared" si="55"/>
        <v>Expiry before Received</v>
      </c>
      <c r="R880" s="3">
        <f t="shared" si="53"/>
        <v>237.5</v>
      </c>
      <c r="S880">
        <f t="shared" si="52"/>
        <v>0</v>
      </c>
      <c r="T880" t="str">
        <f t="shared" si="54"/>
        <v>Sufficient Stock</v>
      </c>
    </row>
    <row r="881" spans="1:20" x14ac:dyDescent="0.3">
      <c r="A881" t="s">
        <v>3129</v>
      </c>
      <c r="B881" t="s">
        <v>214</v>
      </c>
      <c r="C881" t="s">
        <v>47</v>
      </c>
      <c r="D881" t="s">
        <v>3130</v>
      </c>
      <c r="E881" t="s">
        <v>447</v>
      </c>
      <c r="F881">
        <v>98</v>
      </c>
      <c r="G881">
        <v>14</v>
      </c>
      <c r="H881">
        <v>11</v>
      </c>
      <c r="I881" s="1">
        <v>2.5</v>
      </c>
      <c r="J881" s="2">
        <v>45399</v>
      </c>
      <c r="K881" s="2">
        <v>45627</v>
      </c>
      <c r="L881" s="2">
        <v>45371</v>
      </c>
      <c r="M881" t="s">
        <v>3131</v>
      </c>
      <c r="N881">
        <v>48</v>
      </c>
      <c r="O881">
        <v>38</v>
      </c>
      <c r="P881" t="s">
        <v>26</v>
      </c>
      <c r="Q881" t="str">
        <f t="shared" si="55"/>
        <v>Expiry before Received</v>
      </c>
      <c r="R881" s="3">
        <f t="shared" si="53"/>
        <v>245</v>
      </c>
      <c r="S881">
        <f t="shared" si="52"/>
        <v>0</v>
      </c>
      <c r="T881" t="str">
        <f t="shared" si="54"/>
        <v>Sufficient Stock</v>
      </c>
    </row>
    <row r="882" spans="1:20" x14ac:dyDescent="0.3">
      <c r="A882" t="s">
        <v>3132</v>
      </c>
      <c r="B882" t="s">
        <v>57</v>
      </c>
      <c r="C882" t="s">
        <v>58</v>
      </c>
      <c r="D882" t="s">
        <v>3133</v>
      </c>
      <c r="E882" t="s">
        <v>534</v>
      </c>
      <c r="F882">
        <v>28</v>
      </c>
      <c r="G882">
        <v>32</v>
      </c>
      <c r="H882">
        <v>71</v>
      </c>
      <c r="I882" s="1">
        <v>2.5</v>
      </c>
      <c r="J882" s="2">
        <v>45648</v>
      </c>
      <c r="K882" s="2">
        <v>45414</v>
      </c>
      <c r="L882" s="2">
        <v>45632</v>
      </c>
      <c r="M882" t="s">
        <v>3134</v>
      </c>
      <c r="N882">
        <v>32</v>
      </c>
      <c r="O882">
        <v>49</v>
      </c>
      <c r="P882" t="s">
        <v>26</v>
      </c>
      <c r="Q882" t="str">
        <f t="shared" si="55"/>
        <v>Expiry before Received</v>
      </c>
      <c r="R882" s="3">
        <f t="shared" si="53"/>
        <v>70</v>
      </c>
      <c r="S882">
        <f t="shared" si="52"/>
        <v>4</v>
      </c>
      <c r="T882" t="str">
        <f t="shared" si="54"/>
        <v>Reorder Required</v>
      </c>
    </row>
    <row r="883" spans="1:20" x14ac:dyDescent="0.3">
      <c r="A883" t="s">
        <v>3135</v>
      </c>
      <c r="B883" t="s">
        <v>176</v>
      </c>
      <c r="C883" t="s">
        <v>47</v>
      </c>
      <c r="D883" t="s">
        <v>3136</v>
      </c>
      <c r="E883" t="s">
        <v>634</v>
      </c>
      <c r="F883">
        <v>67</v>
      </c>
      <c r="G883">
        <v>14</v>
      </c>
      <c r="H883">
        <v>25</v>
      </c>
      <c r="I883" s="1">
        <v>1.8</v>
      </c>
      <c r="J883" s="2">
        <v>45414</v>
      </c>
      <c r="K883" s="2">
        <v>45524</v>
      </c>
      <c r="L883" s="2">
        <v>45581</v>
      </c>
      <c r="M883" t="s">
        <v>3137</v>
      </c>
      <c r="N883">
        <v>81</v>
      </c>
      <c r="O883">
        <v>77</v>
      </c>
      <c r="P883" t="s">
        <v>44</v>
      </c>
      <c r="Q883" t="str">
        <f t="shared" si="55"/>
        <v>OK</v>
      </c>
      <c r="R883" s="3">
        <f t="shared" si="53"/>
        <v>120.60000000000001</v>
      </c>
      <c r="S883">
        <f t="shared" si="52"/>
        <v>0</v>
      </c>
      <c r="T883" t="str">
        <f t="shared" si="54"/>
        <v>Sufficient Stock</v>
      </c>
    </row>
    <row r="884" spans="1:20" x14ac:dyDescent="0.3">
      <c r="A884" t="s">
        <v>3138</v>
      </c>
      <c r="B884" t="s">
        <v>201</v>
      </c>
      <c r="C884" t="s">
        <v>47</v>
      </c>
      <c r="D884" t="s">
        <v>3139</v>
      </c>
      <c r="E884" t="s">
        <v>1605</v>
      </c>
      <c r="F884">
        <v>20</v>
      </c>
      <c r="G884">
        <v>93</v>
      </c>
      <c r="H884">
        <v>37</v>
      </c>
      <c r="I884" s="1">
        <v>2</v>
      </c>
      <c r="J884" s="2">
        <v>45585</v>
      </c>
      <c r="K884" s="2">
        <v>45358</v>
      </c>
      <c r="L884" s="2">
        <v>45651</v>
      </c>
      <c r="M884" t="s">
        <v>3140</v>
      </c>
      <c r="N884">
        <v>23</v>
      </c>
      <c r="O884">
        <v>2</v>
      </c>
      <c r="P884" t="s">
        <v>26</v>
      </c>
      <c r="Q884" t="str">
        <f t="shared" si="55"/>
        <v>Last Order before Received</v>
      </c>
      <c r="R884" s="3">
        <f t="shared" si="53"/>
        <v>40</v>
      </c>
      <c r="S884">
        <f t="shared" si="52"/>
        <v>73</v>
      </c>
      <c r="T884" t="str">
        <f t="shared" si="54"/>
        <v>Reorder Required</v>
      </c>
    </row>
    <row r="885" spans="1:20" x14ac:dyDescent="0.3">
      <c r="A885" t="s">
        <v>3141</v>
      </c>
      <c r="B885" t="s">
        <v>131</v>
      </c>
      <c r="C885" t="s">
        <v>132</v>
      </c>
      <c r="D885" t="s">
        <v>3142</v>
      </c>
      <c r="E885" t="s">
        <v>460</v>
      </c>
      <c r="F885">
        <v>67</v>
      </c>
      <c r="G885">
        <v>83</v>
      </c>
      <c r="H885">
        <v>90</v>
      </c>
      <c r="I885" s="1">
        <v>11.6</v>
      </c>
      <c r="J885" s="2">
        <v>45592</v>
      </c>
      <c r="K885" s="2">
        <v>45565</v>
      </c>
      <c r="L885" s="2">
        <v>45533</v>
      </c>
      <c r="M885" t="s">
        <v>3143</v>
      </c>
      <c r="N885">
        <v>66</v>
      </c>
      <c r="O885">
        <v>77</v>
      </c>
      <c r="P885" t="s">
        <v>44</v>
      </c>
      <c r="Q885" t="str">
        <f t="shared" si="55"/>
        <v>Expiry before Received</v>
      </c>
      <c r="R885" s="3">
        <f t="shared" si="53"/>
        <v>777.19999999999993</v>
      </c>
      <c r="S885">
        <f t="shared" si="52"/>
        <v>16</v>
      </c>
      <c r="T885" t="str">
        <f t="shared" si="54"/>
        <v>Reorder Required</v>
      </c>
    </row>
    <row r="886" spans="1:20" x14ac:dyDescent="0.3">
      <c r="A886" t="s">
        <v>3144</v>
      </c>
      <c r="B886" t="s">
        <v>157</v>
      </c>
      <c r="C886" t="s">
        <v>64</v>
      </c>
      <c r="D886" t="s">
        <v>3145</v>
      </c>
      <c r="E886" t="s">
        <v>1028</v>
      </c>
      <c r="F886">
        <v>94</v>
      </c>
      <c r="G886">
        <v>60</v>
      </c>
      <c r="H886">
        <v>78</v>
      </c>
      <c r="I886" s="1">
        <v>0.8</v>
      </c>
      <c r="J886" s="2">
        <v>45634</v>
      </c>
      <c r="K886" s="2">
        <v>45358</v>
      </c>
      <c r="L886" s="2">
        <v>45555</v>
      </c>
      <c r="M886" t="s">
        <v>3146</v>
      </c>
      <c r="N886">
        <v>100</v>
      </c>
      <c r="O886">
        <v>42</v>
      </c>
      <c r="P886" t="s">
        <v>44</v>
      </c>
      <c r="Q886" t="str">
        <f t="shared" si="55"/>
        <v>Expiry before Received</v>
      </c>
      <c r="R886" s="3">
        <f t="shared" si="53"/>
        <v>75.2</v>
      </c>
      <c r="S886">
        <f t="shared" si="52"/>
        <v>0</v>
      </c>
      <c r="T886" t="str">
        <f t="shared" si="54"/>
        <v>Sufficient Stock</v>
      </c>
    </row>
    <row r="887" spans="1:20" x14ac:dyDescent="0.3">
      <c r="A887" t="s">
        <v>3147</v>
      </c>
      <c r="B887" t="s">
        <v>316</v>
      </c>
      <c r="C887" t="s">
        <v>29</v>
      </c>
      <c r="D887" t="s">
        <v>3148</v>
      </c>
      <c r="E887" t="s">
        <v>3149</v>
      </c>
      <c r="F887">
        <v>45</v>
      </c>
      <c r="G887">
        <v>58</v>
      </c>
      <c r="H887">
        <v>84</v>
      </c>
      <c r="I887" s="1">
        <v>5</v>
      </c>
      <c r="J887" s="2">
        <v>45663</v>
      </c>
      <c r="K887" s="2">
        <v>45372</v>
      </c>
      <c r="L887" s="2">
        <v>45381</v>
      </c>
      <c r="M887" t="s">
        <v>3150</v>
      </c>
      <c r="N887">
        <v>90</v>
      </c>
      <c r="O887">
        <v>67</v>
      </c>
      <c r="P887" t="s">
        <v>44</v>
      </c>
      <c r="Q887" t="str">
        <f t="shared" si="55"/>
        <v>Expiry before Received</v>
      </c>
      <c r="R887" s="3">
        <f t="shared" si="53"/>
        <v>225</v>
      </c>
      <c r="S887">
        <f t="shared" si="52"/>
        <v>13</v>
      </c>
      <c r="T887" t="str">
        <f t="shared" si="54"/>
        <v>Reorder Required</v>
      </c>
    </row>
    <row r="888" spans="1:20" x14ac:dyDescent="0.3">
      <c r="A888" t="s">
        <v>3151</v>
      </c>
      <c r="B888" t="s">
        <v>800</v>
      </c>
      <c r="C888" t="s">
        <v>132</v>
      </c>
      <c r="D888" t="s">
        <v>3152</v>
      </c>
      <c r="E888" t="s">
        <v>378</v>
      </c>
      <c r="F888">
        <v>86</v>
      </c>
      <c r="G888">
        <v>55</v>
      </c>
      <c r="H888">
        <v>96</v>
      </c>
      <c r="I888" s="1">
        <v>10</v>
      </c>
      <c r="J888" s="2">
        <v>45645</v>
      </c>
      <c r="K888" s="2">
        <v>45482</v>
      </c>
      <c r="L888" s="2">
        <v>45564</v>
      </c>
      <c r="M888" t="s">
        <v>3153</v>
      </c>
      <c r="N888">
        <v>37</v>
      </c>
      <c r="O888">
        <v>53</v>
      </c>
      <c r="P888" t="s">
        <v>38</v>
      </c>
      <c r="Q888" t="str">
        <f t="shared" si="55"/>
        <v>Expiry before Received</v>
      </c>
      <c r="R888" s="3">
        <f t="shared" si="53"/>
        <v>860</v>
      </c>
      <c r="S888">
        <f t="shared" si="52"/>
        <v>0</v>
      </c>
      <c r="T888" t="str">
        <f t="shared" si="54"/>
        <v>Sufficient Stock</v>
      </c>
    </row>
    <row r="889" spans="1:20" x14ac:dyDescent="0.3">
      <c r="A889" t="s">
        <v>3154</v>
      </c>
      <c r="B889" t="s">
        <v>1468</v>
      </c>
      <c r="C889" t="s">
        <v>22</v>
      </c>
      <c r="D889" t="s">
        <v>3155</v>
      </c>
      <c r="E889" t="s">
        <v>240</v>
      </c>
      <c r="F889">
        <v>72</v>
      </c>
      <c r="G889">
        <v>82</v>
      </c>
      <c r="H889">
        <v>52</v>
      </c>
      <c r="I889" s="1">
        <v>9.75</v>
      </c>
      <c r="J889" s="2">
        <v>45507</v>
      </c>
      <c r="K889" s="2">
        <v>45482</v>
      </c>
      <c r="L889" s="2">
        <v>45563</v>
      </c>
      <c r="M889" t="s">
        <v>3156</v>
      </c>
      <c r="N889">
        <v>51</v>
      </c>
      <c r="O889">
        <v>95</v>
      </c>
      <c r="P889" t="s">
        <v>38</v>
      </c>
      <c r="Q889" t="str">
        <f t="shared" si="55"/>
        <v>Last Order before Received</v>
      </c>
      <c r="R889" s="3">
        <f t="shared" si="53"/>
        <v>702</v>
      </c>
      <c r="S889">
        <f t="shared" si="52"/>
        <v>10</v>
      </c>
      <c r="T889" t="str">
        <f t="shared" si="54"/>
        <v>Reorder Required</v>
      </c>
    </row>
    <row r="890" spans="1:20" x14ac:dyDescent="0.3">
      <c r="A890" t="s">
        <v>3157</v>
      </c>
      <c r="B890" t="s">
        <v>137</v>
      </c>
      <c r="C890" t="s">
        <v>47</v>
      </c>
      <c r="D890" t="s">
        <v>3158</v>
      </c>
      <c r="E890" t="s">
        <v>806</v>
      </c>
      <c r="F890">
        <v>31</v>
      </c>
      <c r="G890">
        <v>61</v>
      </c>
      <c r="H890">
        <v>28</v>
      </c>
      <c r="I890" s="1">
        <v>2.1</v>
      </c>
      <c r="J890" s="2">
        <v>45361</v>
      </c>
      <c r="K890" s="2">
        <v>45482</v>
      </c>
      <c r="L890" s="2">
        <v>45521</v>
      </c>
      <c r="M890" t="s">
        <v>3159</v>
      </c>
      <c r="N890">
        <v>55</v>
      </c>
      <c r="O890">
        <v>70</v>
      </c>
      <c r="P890" t="s">
        <v>44</v>
      </c>
      <c r="Q890" t="str">
        <f t="shared" si="55"/>
        <v>OK</v>
      </c>
      <c r="R890" s="3">
        <f t="shared" si="53"/>
        <v>65.100000000000009</v>
      </c>
      <c r="S890">
        <f t="shared" si="52"/>
        <v>30</v>
      </c>
      <c r="T890" t="str">
        <f t="shared" si="54"/>
        <v>Reorder Required</v>
      </c>
    </row>
    <row r="891" spans="1:20" x14ac:dyDescent="0.3">
      <c r="A891" t="s">
        <v>3160</v>
      </c>
      <c r="B891" t="s">
        <v>397</v>
      </c>
      <c r="C891" t="s">
        <v>89</v>
      </c>
      <c r="D891" t="s">
        <v>3161</v>
      </c>
      <c r="E891" t="s">
        <v>3162</v>
      </c>
      <c r="F891">
        <v>12</v>
      </c>
      <c r="G891">
        <v>7</v>
      </c>
      <c r="H891">
        <v>23</v>
      </c>
      <c r="I891" s="1">
        <v>6</v>
      </c>
      <c r="J891" s="2">
        <v>45694</v>
      </c>
      <c r="K891" s="2">
        <v>45705</v>
      </c>
      <c r="L891" s="2">
        <v>45466</v>
      </c>
      <c r="M891" t="s">
        <v>3163</v>
      </c>
      <c r="N891">
        <v>72</v>
      </c>
      <c r="O891">
        <v>16</v>
      </c>
      <c r="P891" t="s">
        <v>26</v>
      </c>
      <c r="Q891" t="str">
        <f t="shared" si="55"/>
        <v>Expiry before Received</v>
      </c>
      <c r="R891" s="3">
        <f t="shared" si="53"/>
        <v>72</v>
      </c>
      <c r="S891">
        <f t="shared" si="52"/>
        <v>0</v>
      </c>
      <c r="T891" t="str">
        <f t="shared" si="54"/>
        <v>Sufficient Stock</v>
      </c>
    </row>
    <row r="892" spans="1:20" x14ac:dyDescent="0.3">
      <c r="A892" t="s">
        <v>3164</v>
      </c>
      <c r="B892" t="s">
        <v>612</v>
      </c>
      <c r="C892" t="s">
        <v>64</v>
      </c>
      <c r="D892" t="s">
        <v>3165</v>
      </c>
      <c r="E892" t="s">
        <v>1719</v>
      </c>
      <c r="F892">
        <v>71</v>
      </c>
      <c r="G892">
        <v>93</v>
      </c>
      <c r="H892">
        <v>75</v>
      </c>
      <c r="I892" s="1">
        <v>7</v>
      </c>
      <c r="J892" s="2">
        <v>45574</v>
      </c>
      <c r="K892" s="2">
        <v>45523</v>
      </c>
      <c r="L892" s="2">
        <v>45691</v>
      </c>
      <c r="M892" t="s">
        <v>3166</v>
      </c>
      <c r="N892">
        <v>77</v>
      </c>
      <c r="O892">
        <v>58</v>
      </c>
      <c r="P892" t="s">
        <v>26</v>
      </c>
      <c r="Q892" t="str">
        <f t="shared" si="55"/>
        <v>Last Order before Received</v>
      </c>
      <c r="R892" s="3">
        <f t="shared" si="53"/>
        <v>497</v>
      </c>
      <c r="S892">
        <f t="shared" si="52"/>
        <v>22</v>
      </c>
      <c r="T892" t="str">
        <f t="shared" si="54"/>
        <v>Reorder Required</v>
      </c>
    </row>
    <row r="893" spans="1:20" x14ac:dyDescent="0.3">
      <c r="A893" t="s">
        <v>3167</v>
      </c>
      <c r="B893" t="s">
        <v>800</v>
      </c>
      <c r="C893" t="s">
        <v>132</v>
      </c>
      <c r="D893" t="s">
        <v>3168</v>
      </c>
      <c r="E893" t="s">
        <v>1150</v>
      </c>
      <c r="F893">
        <v>64</v>
      </c>
      <c r="G893">
        <v>1</v>
      </c>
      <c r="H893">
        <v>92</v>
      </c>
      <c r="I893" s="1">
        <v>10</v>
      </c>
      <c r="J893" s="2">
        <v>45387</v>
      </c>
      <c r="K893" s="2">
        <v>45405</v>
      </c>
      <c r="L893" s="2">
        <v>45681</v>
      </c>
      <c r="M893" t="s">
        <v>3169</v>
      </c>
      <c r="N893">
        <v>49</v>
      </c>
      <c r="O893">
        <v>15</v>
      </c>
      <c r="P893" t="s">
        <v>44</v>
      </c>
      <c r="Q893" t="str">
        <f t="shared" si="55"/>
        <v>OK</v>
      </c>
      <c r="R893" s="3">
        <f t="shared" si="53"/>
        <v>640</v>
      </c>
      <c r="S893">
        <f t="shared" si="52"/>
        <v>0</v>
      </c>
      <c r="T893" t="str">
        <f t="shared" si="54"/>
        <v>Sufficient Stock</v>
      </c>
    </row>
    <row r="894" spans="1:20" x14ac:dyDescent="0.3">
      <c r="A894" t="s">
        <v>3170</v>
      </c>
      <c r="B894" t="s">
        <v>1538</v>
      </c>
      <c r="C894" t="s">
        <v>58</v>
      </c>
      <c r="D894" t="s">
        <v>3171</v>
      </c>
      <c r="E894" t="s">
        <v>253</v>
      </c>
      <c r="F894">
        <v>89</v>
      </c>
      <c r="G894">
        <v>79</v>
      </c>
      <c r="H894">
        <v>66</v>
      </c>
      <c r="I894" s="1">
        <v>5</v>
      </c>
      <c r="J894" s="2">
        <v>45504</v>
      </c>
      <c r="K894" s="2">
        <v>45646</v>
      </c>
      <c r="L894" s="2">
        <v>45582</v>
      </c>
      <c r="M894" t="s">
        <v>3172</v>
      </c>
      <c r="N894">
        <v>91</v>
      </c>
      <c r="O894">
        <v>31</v>
      </c>
      <c r="P894" t="s">
        <v>26</v>
      </c>
      <c r="Q894" t="str">
        <f t="shared" si="55"/>
        <v>OK</v>
      </c>
      <c r="R894" s="3">
        <f t="shared" si="53"/>
        <v>445</v>
      </c>
      <c r="S894">
        <f t="shared" si="52"/>
        <v>0</v>
      </c>
      <c r="T894" t="str">
        <f t="shared" si="54"/>
        <v>Sufficient Stock</v>
      </c>
    </row>
    <row r="895" spans="1:20" x14ac:dyDescent="0.3">
      <c r="A895" t="s">
        <v>3173</v>
      </c>
      <c r="B895" t="s">
        <v>737</v>
      </c>
      <c r="C895" t="s">
        <v>58</v>
      </c>
      <c r="D895" t="s">
        <v>3174</v>
      </c>
      <c r="E895" t="s">
        <v>2595</v>
      </c>
      <c r="F895">
        <v>50</v>
      </c>
      <c r="G895">
        <v>36</v>
      </c>
      <c r="H895">
        <v>96</v>
      </c>
      <c r="I895" s="1">
        <v>6.5</v>
      </c>
      <c r="J895" s="2">
        <v>45638</v>
      </c>
      <c r="K895" s="2">
        <v>45516</v>
      </c>
      <c r="L895" s="2">
        <v>45474</v>
      </c>
      <c r="M895" t="s">
        <v>3175</v>
      </c>
      <c r="N895">
        <v>53</v>
      </c>
      <c r="O895">
        <v>73</v>
      </c>
      <c r="P895" t="s">
        <v>38</v>
      </c>
      <c r="Q895" t="str">
        <f t="shared" si="55"/>
        <v>Expiry before Received</v>
      </c>
      <c r="R895" s="3">
        <f t="shared" si="53"/>
        <v>325</v>
      </c>
      <c r="S895">
        <f t="shared" si="52"/>
        <v>0</v>
      </c>
      <c r="T895" t="str">
        <f t="shared" si="54"/>
        <v>Sufficient Stock</v>
      </c>
    </row>
    <row r="896" spans="1:20" x14ac:dyDescent="0.3">
      <c r="A896" t="s">
        <v>3176</v>
      </c>
      <c r="B896" t="s">
        <v>224</v>
      </c>
      <c r="C896" t="s">
        <v>47</v>
      </c>
      <c r="D896" t="s">
        <v>3177</v>
      </c>
      <c r="E896" t="s">
        <v>1605</v>
      </c>
      <c r="F896">
        <v>53</v>
      </c>
      <c r="G896">
        <v>98</v>
      </c>
      <c r="H896">
        <v>23</v>
      </c>
      <c r="I896" s="1">
        <v>5</v>
      </c>
      <c r="J896" s="2">
        <v>45712</v>
      </c>
      <c r="K896" s="2">
        <v>45477</v>
      </c>
      <c r="L896" s="2">
        <v>45564</v>
      </c>
      <c r="M896" t="s">
        <v>3178</v>
      </c>
      <c r="N896">
        <v>41</v>
      </c>
      <c r="O896">
        <v>84</v>
      </c>
      <c r="P896" t="s">
        <v>38</v>
      </c>
      <c r="Q896" t="str">
        <f t="shared" si="55"/>
        <v>Expiry before Received</v>
      </c>
      <c r="R896" s="3">
        <f t="shared" si="53"/>
        <v>265</v>
      </c>
      <c r="S896">
        <f t="shared" si="52"/>
        <v>45</v>
      </c>
      <c r="T896" t="str">
        <f t="shared" si="54"/>
        <v>Reorder Required</v>
      </c>
    </row>
    <row r="897" spans="1:20" x14ac:dyDescent="0.3">
      <c r="A897" t="s">
        <v>3179</v>
      </c>
      <c r="B897" t="s">
        <v>196</v>
      </c>
      <c r="C897" t="s">
        <v>132</v>
      </c>
      <c r="D897" t="s">
        <v>3180</v>
      </c>
      <c r="E897" t="s">
        <v>2654</v>
      </c>
      <c r="F897">
        <v>19</v>
      </c>
      <c r="G897">
        <v>99</v>
      </c>
      <c r="H897">
        <v>78</v>
      </c>
      <c r="I897" s="1">
        <v>9</v>
      </c>
      <c r="J897" s="2">
        <v>45617</v>
      </c>
      <c r="K897" s="2">
        <v>45705</v>
      </c>
      <c r="L897" s="2">
        <v>45656</v>
      </c>
      <c r="M897" t="s">
        <v>3181</v>
      </c>
      <c r="N897">
        <v>29</v>
      </c>
      <c r="O897">
        <v>54</v>
      </c>
      <c r="P897" t="s">
        <v>26</v>
      </c>
      <c r="Q897" t="str">
        <f t="shared" si="55"/>
        <v>OK</v>
      </c>
      <c r="R897" s="3">
        <f t="shared" si="53"/>
        <v>171</v>
      </c>
      <c r="S897">
        <f t="shared" si="52"/>
        <v>80</v>
      </c>
      <c r="T897" t="str">
        <f t="shared" si="54"/>
        <v>Reorder Required</v>
      </c>
    </row>
    <row r="898" spans="1:20" x14ac:dyDescent="0.3">
      <c r="A898" t="s">
        <v>3182</v>
      </c>
      <c r="B898" t="s">
        <v>349</v>
      </c>
      <c r="C898" t="s">
        <v>47</v>
      </c>
      <c r="D898" t="s">
        <v>3183</v>
      </c>
      <c r="E898" t="s">
        <v>1595</v>
      </c>
      <c r="F898">
        <v>89</v>
      </c>
      <c r="G898">
        <v>40</v>
      </c>
      <c r="H898">
        <v>64</v>
      </c>
      <c r="I898" s="1">
        <v>4</v>
      </c>
      <c r="J898" s="2">
        <v>45581</v>
      </c>
      <c r="K898" s="2">
        <v>45700</v>
      </c>
      <c r="L898" s="2">
        <v>45554</v>
      </c>
      <c r="M898" t="s">
        <v>3184</v>
      </c>
      <c r="N898">
        <v>93</v>
      </c>
      <c r="O898">
        <v>48</v>
      </c>
      <c r="P898" t="s">
        <v>44</v>
      </c>
      <c r="Q898" t="str">
        <f t="shared" si="55"/>
        <v>Expiry before Received</v>
      </c>
      <c r="R898" s="3">
        <f t="shared" si="53"/>
        <v>356</v>
      </c>
      <c r="S898">
        <f t="shared" ref="S898:S961" si="56">MAX(0,G898-F898)</f>
        <v>0</v>
      </c>
      <c r="T898" t="str">
        <f t="shared" si="54"/>
        <v>Sufficient Stock</v>
      </c>
    </row>
    <row r="899" spans="1:20" x14ac:dyDescent="0.3">
      <c r="A899" t="s">
        <v>3185</v>
      </c>
      <c r="B899" t="s">
        <v>532</v>
      </c>
      <c r="C899" t="s">
        <v>132</v>
      </c>
      <c r="D899" t="s">
        <v>3186</v>
      </c>
      <c r="E899" t="s">
        <v>271</v>
      </c>
      <c r="F899">
        <v>96</v>
      </c>
      <c r="G899">
        <v>12</v>
      </c>
      <c r="H899">
        <v>8</v>
      </c>
      <c r="I899" s="1">
        <v>8</v>
      </c>
      <c r="J899" s="2">
        <v>45423</v>
      </c>
      <c r="K899" s="2">
        <v>45436</v>
      </c>
      <c r="L899" s="2">
        <v>45524</v>
      </c>
      <c r="M899" t="s">
        <v>3187</v>
      </c>
      <c r="N899">
        <v>97</v>
      </c>
      <c r="O899">
        <v>92</v>
      </c>
      <c r="P899" t="s">
        <v>44</v>
      </c>
      <c r="Q899" t="str">
        <f t="shared" si="55"/>
        <v>OK</v>
      </c>
      <c r="R899" s="3">
        <f t="shared" ref="R899:R962" si="57">F899*I899</f>
        <v>768</v>
      </c>
      <c r="S899">
        <f t="shared" si="56"/>
        <v>0</v>
      </c>
      <c r="T899" t="str">
        <f t="shared" ref="T899:T962" si="58">IF(F899&lt;G899,"Reorder Required","Sufficient Stock")</f>
        <v>Sufficient Stock</v>
      </c>
    </row>
    <row r="900" spans="1:20" x14ac:dyDescent="0.3">
      <c r="A900" t="s">
        <v>3188</v>
      </c>
      <c r="B900" t="s">
        <v>147</v>
      </c>
      <c r="C900" t="s">
        <v>64</v>
      </c>
      <c r="D900" t="s">
        <v>3189</v>
      </c>
      <c r="E900" t="s">
        <v>3190</v>
      </c>
      <c r="F900">
        <v>52</v>
      </c>
      <c r="G900">
        <v>56</v>
      </c>
      <c r="H900">
        <v>34</v>
      </c>
      <c r="I900" s="1">
        <v>12</v>
      </c>
      <c r="J900" s="2">
        <v>45562</v>
      </c>
      <c r="K900" s="2">
        <v>45569</v>
      </c>
      <c r="L900" s="2">
        <v>45501</v>
      </c>
      <c r="M900" t="s">
        <v>3191</v>
      </c>
      <c r="N900">
        <v>31</v>
      </c>
      <c r="O900">
        <v>69</v>
      </c>
      <c r="P900" t="s">
        <v>38</v>
      </c>
      <c r="Q900" t="str">
        <f t="shared" si="55"/>
        <v>Expiry before Received</v>
      </c>
      <c r="R900" s="3">
        <f t="shared" si="57"/>
        <v>624</v>
      </c>
      <c r="S900">
        <f t="shared" si="56"/>
        <v>4</v>
      </c>
      <c r="T900" t="str">
        <f t="shared" si="58"/>
        <v>Reorder Required</v>
      </c>
    </row>
    <row r="901" spans="1:20" x14ac:dyDescent="0.3">
      <c r="A901" t="s">
        <v>3192</v>
      </c>
      <c r="B901" t="s">
        <v>737</v>
      </c>
      <c r="C901" t="s">
        <v>58</v>
      </c>
      <c r="D901" t="s">
        <v>3193</v>
      </c>
      <c r="E901" t="s">
        <v>1686</v>
      </c>
      <c r="F901">
        <v>97</v>
      </c>
      <c r="G901">
        <v>20</v>
      </c>
      <c r="H901">
        <v>8</v>
      </c>
      <c r="I901" s="1">
        <v>6.5</v>
      </c>
      <c r="J901" s="2">
        <v>45459</v>
      </c>
      <c r="K901" s="2">
        <v>45602</v>
      </c>
      <c r="L901" s="2">
        <v>45605</v>
      </c>
      <c r="M901" t="s">
        <v>3194</v>
      </c>
      <c r="N901">
        <v>51</v>
      </c>
      <c r="O901">
        <v>51</v>
      </c>
      <c r="P901" t="s">
        <v>44</v>
      </c>
      <c r="Q901" t="str">
        <f t="shared" si="55"/>
        <v>OK</v>
      </c>
      <c r="R901" s="3">
        <f t="shared" si="57"/>
        <v>630.5</v>
      </c>
      <c r="S901">
        <f t="shared" si="56"/>
        <v>0</v>
      </c>
      <c r="T901" t="str">
        <f t="shared" si="58"/>
        <v>Sufficient Stock</v>
      </c>
    </row>
    <row r="902" spans="1:20" x14ac:dyDescent="0.3">
      <c r="A902" t="s">
        <v>3195</v>
      </c>
      <c r="B902" t="s">
        <v>1166</v>
      </c>
      <c r="C902" t="s">
        <v>132</v>
      </c>
      <c r="D902" t="s">
        <v>3196</v>
      </c>
      <c r="E902" t="s">
        <v>1439</v>
      </c>
      <c r="F902">
        <v>88</v>
      </c>
      <c r="G902">
        <v>42</v>
      </c>
      <c r="H902">
        <v>68</v>
      </c>
      <c r="I902" s="1">
        <v>20</v>
      </c>
      <c r="J902" s="2">
        <v>45466</v>
      </c>
      <c r="K902" s="2">
        <v>45625</v>
      </c>
      <c r="L902" s="2">
        <v>45391</v>
      </c>
      <c r="M902" t="s">
        <v>3197</v>
      </c>
      <c r="N902">
        <v>92</v>
      </c>
      <c r="O902">
        <v>29</v>
      </c>
      <c r="P902" t="s">
        <v>44</v>
      </c>
      <c r="Q902" t="str">
        <f t="shared" si="55"/>
        <v>Expiry before Received</v>
      </c>
      <c r="R902" s="3">
        <f t="shared" si="57"/>
        <v>1760</v>
      </c>
      <c r="S902">
        <f t="shared" si="56"/>
        <v>0</v>
      </c>
      <c r="T902" t="str">
        <f t="shared" si="58"/>
        <v>Sufficient Stock</v>
      </c>
    </row>
    <row r="903" spans="1:20" x14ac:dyDescent="0.3">
      <c r="A903" t="s">
        <v>3198</v>
      </c>
      <c r="B903" t="s">
        <v>467</v>
      </c>
      <c r="C903" t="s">
        <v>22</v>
      </c>
      <c r="D903" t="s">
        <v>3199</v>
      </c>
      <c r="E903" t="s">
        <v>2520</v>
      </c>
      <c r="F903">
        <v>33</v>
      </c>
      <c r="G903">
        <v>44</v>
      </c>
      <c r="H903">
        <v>89</v>
      </c>
      <c r="I903" s="1">
        <v>4.75</v>
      </c>
      <c r="J903" s="2">
        <v>45366</v>
      </c>
      <c r="K903" s="2">
        <v>45540</v>
      </c>
      <c r="L903" s="2">
        <v>45399</v>
      </c>
      <c r="M903" t="s">
        <v>3200</v>
      </c>
      <c r="N903">
        <v>93</v>
      </c>
      <c r="O903">
        <v>19</v>
      </c>
      <c r="P903" t="s">
        <v>26</v>
      </c>
      <c r="Q903" t="str">
        <f t="shared" ref="Q903:Q966" si="59">IF(L903&lt;J903,"Expiry before Received",IF(K903&lt;J903,"Last Order before Received","OK"))</f>
        <v>OK</v>
      </c>
      <c r="R903" s="3">
        <f t="shared" si="57"/>
        <v>156.75</v>
      </c>
      <c r="S903">
        <f t="shared" si="56"/>
        <v>11</v>
      </c>
      <c r="T903" t="str">
        <f t="shared" si="58"/>
        <v>Reorder Required</v>
      </c>
    </row>
    <row r="904" spans="1:20" x14ac:dyDescent="0.3">
      <c r="A904" t="s">
        <v>3201</v>
      </c>
      <c r="B904" t="s">
        <v>467</v>
      </c>
      <c r="C904" t="s">
        <v>22</v>
      </c>
      <c r="D904" t="s">
        <v>3202</v>
      </c>
      <c r="E904" t="s">
        <v>271</v>
      </c>
      <c r="F904">
        <v>98</v>
      </c>
      <c r="G904">
        <v>20</v>
      </c>
      <c r="H904">
        <v>81</v>
      </c>
      <c r="I904" s="1">
        <v>4.75</v>
      </c>
      <c r="J904" s="2">
        <v>45518</v>
      </c>
      <c r="K904" s="2">
        <v>45483</v>
      </c>
      <c r="L904" s="2">
        <v>45656</v>
      </c>
      <c r="M904" t="s">
        <v>3203</v>
      </c>
      <c r="N904">
        <v>51</v>
      </c>
      <c r="O904">
        <v>23</v>
      </c>
      <c r="P904" t="s">
        <v>38</v>
      </c>
      <c r="Q904" t="str">
        <f t="shared" si="59"/>
        <v>Last Order before Received</v>
      </c>
      <c r="R904" s="3">
        <f t="shared" si="57"/>
        <v>465.5</v>
      </c>
      <c r="S904">
        <f t="shared" si="56"/>
        <v>0</v>
      </c>
      <c r="T904" t="str">
        <f t="shared" si="58"/>
        <v>Sufficient Stock</v>
      </c>
    </row>
    <row r="905" spans="1:20" x14ac:dyDescent="0.3">
      <c r="A905" t="s">
        <v>3204</v>
      </c>
      <c r="B905" t="s">
        <v>554</v>
      </c>
      <c r="C905" t="s">
        <v>47</v>
      </c>
      <c r="D905" t="s">
        <v>3205</v>
      </c>
      <c r="E905" t="s">
        <v>417</v>
      </c>
      <c r="F905">
        <v>45</v>
      </c>
      <c r="G905">
        <v>79</v>
      </c>
      <c r="H905">
        <v>95</v>
      </c>
      <c r="I905" s="1">
        <v>4</v>
      </c>
      <c r="J905" s="2">
        <v>45632</v>
      </c>
      <c r="K905" s="2">
        <v>45469</v>
      </c>
      <c r="L905" s="2">
        <v>45611</v>
      </c>
      <c r="M905" t="s">
        <v>3206</v>
      </c>
      <c r="N905">
        <v>84</v>
      </c>
      <c r="O905">
        <v>62</v>
      </c>
      <c r="P905" t="s">
        <v>38</v>
      </c>
      <c r="Q905" t="str">
        <f t="shared" si="59"/>
        <v>Expiry before Received</v>
      </c>
      <c r="R905" s="3">
        <f t="shared" si="57"/>
        <v>180</v>
      </c>
      <c r="S905">
        <f t="shared" si="56"/>
        <v>34</v>
      </c>
      <c r="T905" t="str">
        <f t="shared" si="58"/>
        <v>Reorder Required</v>
      </c>
    </row>
    <row r="906" spans="1:20" x14ac:dyDescent="0.3">
      <c r="A906" t="s">
        <v>3207</v>
      </c>
      <c r="B906" t="s">
        <v>589</v>
      </c>
      <c r="C906" t="s">
        <v>22</v>
      </c>
      <c r="D906" t="s">
        <v>3208</v>
      </c>
      <c r="E906" t="s">
        <v>2268</v>
      </c>
      <c r="F906">
        <v>80</v>
      </c>
      <c r="G906">
        <v>86</v>
      </c>
      <c r="H906">
        <v>50</v>
      </c>
      <c r="I906" s="1">
        <v>1.8</v>
      </c>
      <c r="J906" s="2">
        <v>45417</v>
      </c>
      <c r="K906" s="2">
        <v>45495</v>
      </c>
      <c r="L906" s="2">
        <v>45712</v>
      </c>
      <c r="M906" t="s">
        <v>3209</v>
      </c>
      <c r="N906">
        <v>46</v>
      </c>
      <c r="O906">
        <v>69</v>
      </c>
      <c r="P906" t="s">
        <v>26</v>
      </c>
      <c r="Q906" t="str">
        <f t="shared" si="59"/>
        <v>OK</v>
      </c>
      <c r="R906" s="3">
        <f t="shared" si="57"/>
        <v>144</v>
      </c>
      <c r="S906">
        <f t="shared" si="56"/>
        <v>6</v>
      </c>
      <c r="T906" t="str">
        <f t="shared" si="58"/>
        <v>Reorder Required</v>
      </c>
    </row>
    <row r="907" spans="1:20" x14ac:dyDescent="0.3">
      <c r="A907" t="s">
        <v>3210</v>
      </c>
      <c r="B907" t="s">
        <v>1166</v>
      </c>
      <c r="C907" t="s">
        <v>132</v>
      </c>
      <c r="D907" t="s">
        <v>3211</v>
      </c>
      <c r="E907" t="s">
        <v>693</v>
      </c>
      <c r="F907">
        <v>68</v>
      </c>
      <c r="G907">
        <v>43</v>
      </c>
      <c r="H907">
        <v>96</v>
      </c>
      <c r="I907" s="1">
        <v>20</v>
      </c>
      <c r="J907" s="2">
        <v>45613</v>
      </c>
      <c r="K907" s="2">
        <v>45410</v>
      </c>
      <c r="L907" s="2">
        <v>45580</v>
      </c>
      <c r="M907" t="s">
        <v>3212</v>
      </c>
      <c r="N907">
        <v>75</v>
      </c>
      <c r="O907">
        <v>35</v>
      </c>
      <c r="P907" t="s">
        <v>38</v>
      </c>
      <c r="Q907" t="str">
        <f t="shared" si="59"/>
        <v>Expiry before Received</v>
      </c>
      <c r="R907" s="3">
        <f t="shared" si="57"/>
        <v>1360</v>
      </c>
      <c r="S907">
        <f t="shared" si="56"/>
        <v>0</v>
      </c>
      <c r="T907" t="str">
        <f t="shared" si="58"/>
        <v>Sufficient Stock</v>
      </c>
    </row>
    <row r="908" spans="1:20" x14ac:dyDescent="0.3">
      <c r="A908" t="s">
        <v>3213</v>
      </c>
      <c r="B908" t="s">
        <v>1184</v>
      </c>
      <c r="C908" t="s">
        <v>47</v>
      </c>
      <c r="D908" t="s">
        <v>3214</v>
      </c>
      <c r="E908" t="s">
        <v>1231</v>
      </c>
      <c r="F908">
        <v>90</v>
      </c>
      <c r="G908">
        <v>91</v>
      </c>
      <c r="H908">
        <v>62</v>
      </c>
      <c r="I908" s="1">
        <v>5</v>
      </c>
      <c r="J908" s="2">
        <v>45620</v>
      </c>
      <c r="K908" s="2">
        <v>45623</v>
      </c>
      <c r="L908" s="2">
        <v>45620</v>
      </c>
      <c r="M908" t="s">
        <v>3215</v>
      </c>
      <c r="N908">
        <v>34</v>
      </c>
      <c r="O908">
        <v>72</v>
      </c>
      <c r="P908" t="s">
        <v>44</v>
      </c>
      <c r="Q908" t="str">
        <f t="shared" si="59"/>
        <v>OK</v>
      </c>
      <c r="R908" s="3">
        <f t="shared" si="57"/>
        <v>450</v>
      </c>
      <c r="S908">
        <f t="shared" si="56"/>
        <v>1</v>
      </c>
      <c r="T908" t="str">
        <f t="shared" si="58"/>
        <v>Reorder Required</v>
      </c>
    </row>
    <row r="909" spans="1:20" x14ac:dyDescent="0.3">
      <c r="A909" t="s">
        <v>3216</v>
      </c>
      <c r="B909" t="s">
        <v>131</v>
      </c>
      <c r="C909" t="s">
        <v>132</v>
      </c>
      <c r="D909" t="s">
        <v>3217</v>
      </c>
      <c r="E909" t="s">
        <v>1287</v>
      </c>
      <c r="F909">
        <v>89</v>
      </c>
      <c r="G909">
        <v>67</v>
      </c>
      <c r="H909">
        <v>89</v>
      </c>
      <c r="I909" s="1">
        <v>12</v>
      </c>
      <c r="J909" s="2">
        <v>45702</v>
      </c>
      <c r="K909" s="2">
        <v>45662</v>
      </c>
      <c r="L909" s="2">
        <v>45606</v>
      </c>
      <c r="M909" t="s">
        <v>3218</v>
      </c>
      <c r="N909">
        <v>96</v>
      </c>
      <c r="O909">
        <v>42</v>
      </c>
      <c r="P909" t="s">
        <v>26</v>
      </c>
      <c r="Q909" t="str">
        <f t="shared" si="59"/>
        <v>Expiry before Received</v>
      </c>
      <c r="R909" s="3">
        <f t="shared" si="57"/>
        <v>1068</v>
      </c>
      <c r="S909">
        <f t="shared" si="56"/>
        <v>0</v>
      </c>
      <c r="T909" t="str">
        <f t="shared" si="58"/>
        <v>Sufficient Stock</v>
      </c>
    </row>
    <row r="910" spans="1:20" x14ac:dyDescent="0.3">
      <c r="A910" t="s">
        <v>3219</v>
      </c>
      <c r="B910" t="s">
        <v>176</v>
      </c>
      <c r="C910" t="s">
        <v>47</v>
      </c>
      <c r="D910" t="s">
        <v>3220</v>
      </c>
      <c r="E910" t="s">
        <v>1789</v>
      </c>
      <c r="F910">
        <v>38</v>
      </c>
      <c r="G910">
        <v>94</v>
      </c>
      <c r="H910">
        <v>87</v>
      </c>
      <c r="I910" s="1">
        <v>1.8</v>
      </c>
      <c r="J910" s="2">
        <v>45439</v>
      </c>
      <c r="K910" s="2">
        <v>45415</v>
      </c>
      <c r="L910" s="2">
        <v>45525</v>
      </c>
      <c r="M910" t="s">
        <v>3221</v>
      </c>
      <c r="N910">
        <v>89</v>
      </c>
      <c r="O910">
        <v>100</v>
      </c>
      <c r="P910" t="s">
        <v>26</v>
      </c>
      <c r="Q910" t="str">
        <f t="shared" si="59"/>
        <v>Last Order before Received</v>
      </c>
      <c r="R910" s="3">
        <f t="shared" si="57"/>
        <v>68.400000000000006</v>
      </c>
      <c r="S910">
        <f t="shared" si="56"/>
        <v>56</v>
      </c>
      <c r="T910" t="str">
        <f t="shared" si="58"/>
        <v>Reorder Required</v>
      </c>
    </row>
    <row r="911" spans="1:20" x14ac:dyDescent="0.3">
      <c r="A911" t="s">
        <v>3222</v>
      </c>
      <c r="B911" t="s">
        <v>137</v>
      </c>
      <c r="C911" t="s">
        <v>47</v>
      </c>
      <c r="D911" t="s">
        <v>3223</v>
      </c>
      <c r="E911" t="s">
        <v>3224</v>
      </c>
      <c r="F911">
        <v>99</v>
      </c>
      <c r="G911">
        <v>37</v>
      </c>
      <c r="H911">
        <v>74</v>
      </c>
      <c r="I911" s="1">
        <v>2.1</v>
      </c>
      <c r="J911" s="2">
        <v>45498</v>
      </c>
      <c r="K911" s="2">
        <v>45647</v>
      </c>
      <c r="L911" s="2">
        <v>45353</v>
      </c>
      <c r="M911" t="s">
        <v>3225</v>
      </c>
      <c r="N911">
        <v>46</v>
      </c>
      <c r="O911">
        <v>46</v>
      </c>
      <c r="P911" t="s">
        <v>44</v>
      </c>
      <c r="Q911" t="str">
        <f t="shared" si="59"/>
        <v>Expiry before Received</v>
      </c>
      <c r="R911" s="3">
        <f t="shared" si="57"/>
        <v>207.9</v>
      </c>
      <c r="S911">
        <f t="shared" si="56"/>
        <v>0</v>
      </c>
      <c r="T911" t="str">
        <f t="shared" si="58"/>
        <v>Sufficient Stock</v>
      </c>
    </row>
    <row r="912" spans="1:20" x14ac:dyDescent="0.3">
      <c r="A912" t="s">
        <v>3226</v>
      </c>
      <c r="B912" t="s">
        <v>687</v>
      </c>
      <c r="C912" t="s">
        <v>22</v>
      </c>
      <c r="D912" t="s">
        <v>3227</v>
      </c>
      <c r="E912" t="s">
        <v>893</v>
      </c>
      <c r="F912">
        <v>66</v>
      </c>
      <c r="G912">
        <v>19</v>
      </c>
      <c r="H912">
        <v>20</v>
      </c>
      <c r="I912" s="1">
        <v>2.4</v>
      </c>
      <c r="J912" s="2">
        <v>45553</v>
      </c>
      <c r="K912" s="2">
        <v>45542</v>
      </c>
      <c r="L912" s="2">
        <v>45444</v>
      </c>
      <c r="M912" t="s">
        <v>3228</v>
      </c>
      <c r="N912">
        <v>30</v>
      </c>
      <c r="O912">
        <v>49</v>
      </c>
      <c r="P912" t="s">
        <v>44</v>
      </c>
      <c r="Q912" t="str">
        <f t="shared" si="59"/>
        <v>Expiry before Received</v>
      </c>
      <c r="R912" s="3">
        <f t="shared" si="57"/>
        <v>158.4</v>
      </c>
      <c r="S912">
        <f t="shared" si="56"/>
        <v>0</v>
      </c>
      <c r="T912" t="str">
        <f t="shared" si="58"/>
        <v>Sufficient Stock</v>
      </c>
    </row>
    <row r="913" spans="1:20" x14ac:dyDescent="0.3">
      <c r="A913" t="s">
        <v>3229</v>
      </c>
      <c r="B913" t="s">
        <v>545</v>
      </c>
      <c r="C913" t="s">
        <v>47</v>
      </c>
      <c r="D913" t="s">
        <v>3230</v>
      </c>
      <c r="E913" t="s">
        <v>2120</v>
      </c>
      <c r="F913">
        <v>66</v>
      </c>
      <c r="G913">
        <v>28</v>
      </c>
      <c r="H913">
        <v>7</v>
      </c>
      <c r="I913" s="1">
        <v>6</v>
      </c>
      <c r="J913" s="2">
        <v>45409</v>
      </c>
      <c r="K913" s="2">
        <v>45591</v>
      </c>
      <c r="L913" s="2">
        <v>45518</v>
      </c>
      <c r="M913" t="s">
        <v>3231</v>
      </c>
      <c r="N913">
        <v>85</v>
      </c>
      <c r="O913">
        <v>6</v>
      </c>
      <c r="P913" t="s">
        <v>38</v>
      </c>
      <c r="Q913" t="str">
        <f t="shared" si="59"/>
        <v>OK</v>
      </c>
      <c r="R913" s="3">
        <f t="shared" si="57"/>
        <v>396</v>
      </c>
      <c r="S913">
        <f t="shared" si="56"/>
        <v>0</v>
      </c>
      <c r="T913" t="str">
        <f t="shared" si="58"/>
        <v>Sufficient Stock</v>
      </c>
    </row>
    <row r="914" spans="1:20" x14ac:dyDescent="0.3">
      <c r="A914" t="s">
        <v>3232</v>
      </c>
      <c r="B914" t="s">
        <v>108</v>
      </c>
      <c r="C914" t="s">
        <v>22</v>
      </c>
      <c r="D914" t="s">
        <v>3233</v>
      </c>
      <c r="E914" t="s">
        <v>999</v>
      </c>
      <c r="F914">
        <v>64</v>
      </c>
      <c r="G914">
        <v>11</v>
      </c>
      <c r="H914">
        <v>97</v>
      </c>
      <c r="I914" s="1">
        <v>1.5</v>
      </c>
      <c r="J914" s="2">
        <v>45652</v>
      </c>
      <c r="K914" s="2">
        <v>45644</v>
      </c>
      <c r="L914" s="2">
        <v>45478</v>
      </c>
      <c r="M914" t="s">
        <v>3234</v>
      </c>
      <c r="N914">
        <v>33</v>
      </c>
      <c r="O914">
        <v>83</v>
      </c>
      <c r="P914" t="s">
        <v>26</v>
      </c>
      <c r="Q914" t="str">
        <f t="shared" si="59"/>
        <v>Expiry before Received</v>
      </c>
      <c r="R914" s="3">
        <f t="shared" si="57"/>
        <v>96</v>
      </c>
      <c r="S914">
        <f t="shared" si="56"/>
        <v>0</v>
      </c>
      <c r="T914" t="str">
        <f t="shared" si="58"/>
        <v>Sufficient Stock</v>
      </c>
    </row>
    <row r="915" spans="1:20" x14ac:dyDescent="0.3">
      <c r="A915" t="s">
        <v>3235</v>
      </c>
      <c r="B915" t="s">
        <v>34</v>
      </c>
      <c r="C915" t="s">
        <v>22</v>
      </c>
      <c r="D915" t="s">
        <v>3236</v>
      </c>
      <c r="E915" t="s">
        <v>2464</v>
      </c>
      <c r="F915">
        <v>18</v>
      </c>
      <c r="G915">
        <v>78</v>
      </c>
      <c r="H915">
        <v>43</v>
      </c>
      <c r="I915" s="1">
        <v>6</v>
      </c>
      <c r="J915" s="2">
        <v>45661</v>
      </c>
      <c r="K915" s="2">
        <v>45478</v>
      </c>
      <c r="L915" s="2">
        <v>45364</v>
      </c>
      <c r="M915" t="s">
        <v>3237</v>
      </c>
      <c r="N915">
        <v>85</v>
      </c>
      <c r="O915">
        <v>97</v>
      </c>
      <c r="P915" t="s">
        <v>44</v>
      </c>
      <c r="Q915" t="str">
        <f t="shared" si="59"/>
        <v>Expiry before Received</v>
      </c>
      <c r="R915" s="3">
        <f t="shared" si="57"/>
        <v>108</v>
      </c>
      <c r="S915">
        <f t="shared" si="56"/>
        <v>60</v>
      </c>
      <c r="T915" t="str">
        <f t="shared" si="58"/>
        <v>Reorder Required</v>
      </c>
    </row>
    <row r="916" spans="1:20" x14ac:dyDescent="0.3">
      <c r="A916" t="s">
        <v>3238</v>
      </c>
      <c r="B916" t="s">
        <v>771</v>
      </c>
      <c r="C916" t="s">
        <v>22</v>
      </c>
      <c r="D916" t="s">
        <v>3239</v>
      </c>
      <c r="E916" t="s">
        <v>1315</v>
      </c>
      <c r="F916">
        <v>86</v>
      </c>
      <c r="G916">
        <v>100</v>
      </c>
      <c r="H916">
        <v>78</v>
      </c>
      <c r="I916" s="1">
        <v>2.75</v>
      </c>
      <c r="J916" s="2">
        <v>45388</v>
      </c>
      <c r="K916" s="2">
        <v>45440</v>
      </c>
      <c r="L916" s="2">
        <v>45693</v>
      </c>
      <c r="M916" t="s">
        <v>3240</v>
      </c>
      <c r="N916">
        <v>52</v>
      </c>
      <c r="O916">
        <v>91</v>
      </c>
      <c r="P916" t="s">
        <v>38</v>
      </c>
      <c r="Q916" t="str">
        <f t="shared" si="59"/>
        <v>OK</v>
      </c>
      <c r="R916" s="3">
        <f t="shared" si="57"/>
        <v>236.5</v>
      </c>
      <c r="S916">
        <f t="shared" si="56"/>
        <v>14</v>
      </c>
      <c r="T916" t="str">
        <f t="shared" si="58"/>
        <v>Reorder Required</v>
      </c>
    </row>
    <row r="917" spans="1:20" x14ac:dyDescent="0.3">
      <c r="A917" t="s">
        <v>3241</v>
      </c>
      <c r="B917" t="s">
        <v>316</v>
      </c>
      <c r="C917" t="s">
        <v>29</v>
      </c>
      <c r="D917" t="s">
        <v>3242</v>
      </c>
      <c r="E917" t="s">
        <v>216</v>
      </c>
      <c r="F917">
        <v>35</v>
      </c>
      <c r="G917">
        <v>88</v>
      </c>
      <c r="H917">
        <v>87</v>
      </c>
      <c r="I917" s="1">
        <v>4.7</v>
      </c>
      <c r="J917" s="2">
        <v>45387</v>
      </c>
      <c r="K917" s="2">
        <v>45577</v>
      </c>
      <c r="L917" s="2">
        <v>45617</v>
      </c>
      <c r="M917" t="s">
        <v>3243</v>
      </c>
      <c r="N917">
        <v>39</v>
      </c>
      <c r="O917">
        <v>62</v>
      </c>
      <c r="P917" t="s">
        <v>44</v>
      </c>
      <c r="Q917" t="str">
        <f t="shared" si="59"/>
        <v>OK</v>
      </c>
      <c r="R917" s="3">
        <f t="shared" si="57"/>
        <v>164.5</v>
      </c>
      <c r="S917">
        <f t="shared" si="56"/>
        <v>53</v>
      </c>
      <c r="T917" t="str">
        <f t="shared" si="58"/>
        <v>Reorder Required</v>
      </c>
    </row>
    <row r="918" spans="1:20" x14ac:dyDescent="0.3">
      <c r="A918" t="s">
        <v>3244</v>
      </c>
      <c r="B918" t="s">
        <v>137</v>
      </c>
      <c r="C918" t="s">
        <v>47</v>
      </c>
      <c r="D918" t="s">
        <v>3245</v>
      </c>
      <c r="E918" t="s">
        <v>962</v>
      </c>
      <c r="F918">
        <v>26</v>
      </c>
      <c r="G918">
        <v>70</v>
      </c>
      <c r="H918">
        <v>52</v>
      </c>
      <c r="I918" s="1">
        <v>2</v>
      </c>
      <c r="J918" s="2">
        <v>45542</v>
      </c>
      <c r="K918" s="2">
        <v>45361</v>
      </c>
      <c r="L918" s="2">
        <v>45599</v>
      </c>
      <c r="M918" t="s">
        <v>3246</v>
      </c>
      <c r="N918">
        <v>36</v>
      </c>
      <c r="O918">
        <v>10</v>
      </c>
      <c r="P918" t="s">
        <v>26</v>
      </c>
      <c r="Q918" t="str">
        <f t="shared" si="59"/>
        <v>Last Order before Received</v>
      </c>
      <c r="R918" s="3">
        <f t="shared" si="57"/>
        <v>52</v>
      </c>
      <c r="S918">
        <f t="shared" si="56"/>
        <v>44</v>
      </c>
      <c r="T918" t="str">
        <f t="shared" si="58"/>
        <v>Reorder Required</v>
      </c>
    </row>
    <row r="919" spans="1:20" x14ac:dyDescent="0.3">
      <c r="A919" t="s">
        <v>3247</v>
      </c>
      <c r="B919" t="s">
        <v>147</v>
      </c>
      <c r="C919" t="s">
        <v>64</v>
      </c>
      <c r="D919" t="s">
        <v>3248</v>
      </c>
      <c r="E919" t="s">
        <v>164</v>
      </c>
      <c r="F919">
        <v>80</v>
      </c>
      <c r="G919">
        <v>100</v>
      </c>
      <c r="H919">
        <v>48</v>
      </c>
      <c r="I919" s="1">
        <v>12</v>
      </c>
      <c r="J919" s="2">
        <v>45522</v>
      </c>
      <c r="K919" s="2">
        <v>45577</v>
      </c>
      <c r="L919" s="2">
        <v>45388</v>
      </c>
      <c r="M919" t="s">
        <v>3249</v>
      </c>
      <c r="N919">
        <v>100</v>
      </c>
      <c r="O919">
        <v>28</v>
      </c>
      <c r="P919" t="s">
        <v>38</v>
      </c>
      <c r="Q919" t="str">
        <f t="shared" si="59"/>
        <v>Expiry before Received</v>
      </c>
      <c r="R919" s="3">
        <f t="shared" si="57"/>
        <v>960</v>
      </c>
      <c r="S919">
        <f t="shared" si="56"/>
        <v>20</v>
      </c>
      <c r="T919" t="str">
        <f t="shared" si="58"/>
        <v>Reorder Required</v>
      </c>
    </row>
    <row r="920" spans="1:20" x14ac:dyDescent="0.3">
      <c r="A920" t="s">
        <v>3250</v>
      </c>
      <c r="B920" t="s">
        <v>214</v>
      </c>
      <c r="C920" t="s">
        <v>47</v>
      </c>
      <c r="D920" t="s">
        <v>3251</v>
      </c>
      <c r="E920" t="s">
        <v>757</v>
      </c>
      <c r="F920">
        <v>63</v>
      </c>
      <c r="G920">
        <v>56</v>
      </c>
      <c r="H920">
        <v>33</v>
      </c>
      <c r="I920" s="1">
        <v>2.5</v>
      </c>
      <c r="J920" s="2">
        <v>45666</v>
      </c>
      <c r="K920" s="2">
        <v>45450</v>
      </c>
      <c r="L920" s="2">
        <v>45581</v>
      </c>
      <c r="M920" t="s">
        <v>3252</v>
      </c>
      <c r="N920">
        <v>35</v>
      </c>
      <c r="O920">
        <v>16</v>
      </c>
      <c r="P920" t="s">
        <v>38</v>
      </c>
      <c r="Q920" t="str">
        <f t="shared" si="59"/>
        <v>Expiry before Received</v>
      </c>
      <c r="R920" s="3">
        <f t="shared" si="57"/>
        <v>157.5</v>
      </c>
      <c r="S920">
        <f t="shared" si="56"/>
        <v>0</v>
      </c>
      <c r="T920" t="str">
        <f t="shared" si="58"/>
        <v>Sufficient Stock</v>
      </c>
    </row>
    <row r="921" spans="1:20" x14ac:dyDescent="0.3">
      <c r="A921" t="s">
        <v>3253</v>
      </c>
      <c r="B921" t="s">
        <v>1433</v>
      </c>
      <c r="C921" t="s">
        <v>89</v>
      </c>
      <c r="D921" t="s">
        <v>3254</v>
      </c>
      <c r="E921" t="s">
        <v>399</v>
      </c>
      <c r="F921">
        <v>89</v>
      </c>
      <c r="G921">
        <v>22</v>
      </c>
      <c r="H921">
        <v>23</v>
      </c>
      <c r="I921" s="1">
        <v>5.5</v>
      </c>
      <c r="J921" s="2">
        <v>45424</v>
      </c>
      <c r="K921" s="2">
        <v>45468</v>
      </c>
      <c r="L921" s="2">
        <v>45518</v>
      </c>
      <c r="M921" t="s">
        <v>3255</v>
      </c>
      <c r="N921">
        <v>83</v>
      </c>
      <c r="O921">
        <v>25</v>
      </c>
      <c r="P921" t="s">
        <v>26</v>
      </c>
      <c r="Q921" t="str">
        <f t="shared" si="59"/>
        <v>OK</v>
      </c>
      <c r="R921" s="3">
        <f t="shared" si="57"/>
        <v>489.5</v>
      </c>
      <c r="S921">
        <f t="shared" si="56"/>
        <v>0</v>
      </c>
      <c r="T921" t="str">
        <f t="shared" si="58"/>
        <v>Sufficient Stock</v>
      </c>
    </row>
    <row r="922" spans="1:20" x14ac:dyDescent="0.3">
      <c r="A922" t="s">
        <v>3256</v>
      </c>
      <c r="B922" t="s">
        <v>1531</v>
      </c>
      <c r="C922" t="s">
        <v>47</v>
      </c>
      <c r="D922" t="s">
        <v>3257</v>
      </c>
      <c r="E922" t="s">
        <v>2595</v>
      </c>
      <c r="F922">
        <v>80</v>
      </c>
      <c r="G922">
        <v>60</v>
      </c>
      <c r="H922">
        <v>71</v>
      </c>
      <c r="I922" s="1">
        <v>2</v>
      </c>
      <c r="J922" s="2">
        <v>45573</v>
      </c>
      <c r="K922" s="2">
        <v>45458</v>
      </c>
      <c r="L922" s="2">
        <v>45521</v>
      </c>
      <c r="M922" t="s">
        <v>3258</v>
      </c>
      <c r="N922">
        <v>98</v>
      </c>
      <c r="O922">
        <v>13</v>
      </c>
      <c r="P922" t="s">
        <v>44</v>
      </c>
      <c r="Q922" t="str">
        <f t="shared" si="59"/>
        <v>Expiry before Received</v>
      </c>
      <c r="R922" s="3">
        <f t="shared" si="57"/>
        <v>160</v>
      </c>
      <c r="S922">
        <f t="shared" si="56"/>
        <v>0</v>
      </c>
      <c r="T922" t="str">
        <f t="shared" si="58"/>
        <v>Sufficient Stock</v>
      </c>
    </row>
    <row r="923" spans="1:20" x14ac:dyDescent="0.3">
      <c r="A923" t="s">
        <v>3259</v>
      </c>
      <c r="B923" t="s">
        <v>710</v>
      </c>
      <c r="C923" t="s">
        <v>58</v>
      </c>
      <c r="D923" t="s">
        <v>3260</v>
      </c>
      <c r="E923" t="s">
        <v>370</v>
      </c>
      <c r="F923">
        <v>41</v>
      </c>
      <c r="G923">
        <v>66</v>
      </c>
      <c r="H923">
        <v>50</v>
      </c>
      <c r="I923" s="1">
        <v>2</v>
      </c>
      <c r="J923" s="2">
        <v>45706</v>
      </c>
      <c r="K923" s="2">
        <v>45503</v>
      </c>
      <c r="L923" s="2">
        <v>45367</v>
      </c>
      <c r="M923" t="s">
        <v>3261</v>
      </c>
      <c r="N923">
        <v>55</v>
      </c>
      <c r="O923">
        <v>74</v>
      </c>
      <c r="P923" t="s">
        <v>38</v>
      </c>
      <c r="Q923" t="str">
        <f t="shared" si="59"/>
        <v>Expiry before Received</v>
      </c>
      <c r="R923" s="3">
        <f t="shared" si="57"/>
        <v>82</v>
      </c>
      <c r="S923">
        <f t="shared" si="56"/>
        <v>25</v>
      </c>
      <c r="T923" t="str">
        <f t="shared" si="58"/>
        <v>Reorder Required</v>
      </c>
    </row>
    <row r="924" spans="1:20" x14ac:dyDescent="0.3">
      <c r="A924" t="s">
        <v>3262</v>
      </c>
      <c r="B924" t="s">
        <v>445</v>
      </c>
      <c r="C924" t="s">
        <v>89</v>
      </c>
      <c r="D924" t="s">
        <v>3263</v>
      </c>
      <c r="E924" t="s">
        <v>3264</v>
      </c>
      <c r="F924">
        <v>53</v>
      </c>
      <c r="G924">
        <v>19</v>
      </c>
      <c r="H924">
        <v>94</v>
      </c>
      <c r="I924" s="1">
        <v>5</v>
      </c>
      <c r="J924" s="2">
        <v>45380</v>
      </c>
      <c r="K924" s="2">
        <v>45608</v>
      </c>
      <c r="L924" s="2">
        <v>45583</v>
      </c>
      <c r="M924" t="s">
        <v>3265</v>
      </c>
      <c r="N924">
        <v>82</v>
      </c>
      <c r="O924">
        <v>56</v>
      </c>
      <c r="P924" t="s">
        <v>26</v>
      </c>
      <c r="Q924" t="str">
        <f t="shared" si="59"/>
        <v>OK</v>
      </c>
      <c r="R924" s="3">
        <f t="shared" si="57"/>
        <v>265</v>
      </c>
      <c r="S924">
        <f t="shared" si="56"/>
        <v>0</v>
      </c>
      <c r="T924" t="str">
        <f t="shared" si="58"/>
        <v>Sufficient Stock</v>
      </c>
    </row>
    <row r="925" spans="1:20" x14ac:dyDescent="0.3">
      <c r="A925" t="s">
        <v>3266</v>
      </c>
      <c r="B925" t="s">
        <v>196</v>
      </c>
      <c r="C925" t="s">
        <v>132</v>
      </c>
      <c r="D925" t="s">
        <v>3267</v>
      </c>
      <c r="E925" t="s">
        <v>128</v>
      </c>
      <c r="F925">
        <v>61</v>
      </c>
      <c r="G925">
        <v>91</v>
      </c>
      <c r="H925">
        <v>40</v>
      </c>
      <c r="I925" s="1">
        <v>9</v>
      </c>
      <c r="J925" s="2">
        <v>45665</v>
      </c>
      <c r="K925" s="2">
        <v>45531</v>
      </c>
      <c r="L925" s="2">
        <v>45452</v>
      </c>
      <c r="M925" t="s">
        <v>3268</v>
      </c>
      <c r="N925">
        <v>34</v>
      </c>
      <c r="O925">
        <v>76</v>
      </c>
      <c r="P925" t="s">
        <v>44</v>
      </c>
      <c r="Q925" t="str">
        <f t="shared" si="59"/>
        <v>Expiry before Received</v>
      </c>
      <c r="R925" s="3">
        <f t="shared" si="57"/>
        <v>549</v>
      </c>
      <c r="S925">
        <f t="shared" si="56"/>
        <v>30</v>
      </c>
      <c r="T925" t="str">
        <f t="shared" si="58"/>
        <v>Reorder Required</v>
      </c>
    </row>
    <row r="926" spans="1:20" x14ac:dyDescent="0.3">
      <c r="A926" t="s">
        <v>3269</v>
      </c>
      <c r="B926" t="s">
        <v>74</v>
      </c>
      <c r="C926" t="s">
        <v>64</v>
      </c>
      <c r="D926" t="s">
        <v>3270</v>
      </c>
      <c r="E926" t="s">
        <v>1870</v>
      </c>
      <c r="F926">
        <v>70</v>
      </c>
      <c r="G926">
        <v>92</v>
      </c>
      <c r="H926">
        <v>74</v>
      </c>
      <c r="I926" s="1">
        <v>1</v>
      </c>
      <c r="J926" s="2">
        <v>45626</v>
      </c>
      <c r="K926" s="2">
        <v>45521</v>
      </c>
      <c r="L926" s="2">
        <v>45484</v>
      </c>
      <c r="M926" t="s">
        <v>3271</v>
      </c>
      <c r="N926">
        <v>95</v>
      </c>
      <c r="O926">
        <v>26</v>
      </c>
      <c r="P926" t="s">
        <v>38</v>
      </c>
      <c r="Q926" t="str">
        <f t="shared" si="59"/>
        <v>Expiry before Received</v>
      </c>
      <c r="R926" s="3">
        <f t="shared" si="57"/>
        <v>70</v>
      </c>
      <c r="S926">
        <f t="shared" si="56"/>
        <v>22</v>
      </c>
      <c r="T926" t="str">
        <f t="shared" si="58"/>
        <v>Reorder Required</v>
      </c>
    </row>
    <row r="927" spans="1:20" x14ac:dyDescent="0.3">
      <c r="A927" t="s">
        <v>3272</v>
      </c>
      <c r="B927" t="s">
        <v>224</v>
      </c>
      <c r="C927" t="s">
        <v>47</v>
      </c>
      <c r="D927" t="s">
        <v>3273</v>
      </c>
      <c r="E927" t="s">
        <v>924</v>
      </c>
      <c r="F927">
        <v>73</v>
      </c>
      <c r="G927">
        <v>69</v>
      </c>
      <c r="H927">
        <v>1</v>
      </c>
      <c r="I927" s="1">
        <v>5</v>
      </c>
      <c r="J927" s="2">
        <v>45601</v>
      </c>
      <c r="K927" s="2">
        <v>45426</v>
      </c>
      <c r="L927" s="2">
        <v>45552</v>
      </c>
      <c r="M927" t="s">
        <v>3274</v>
      </c>
      <c r="N927">
        <v>50</v>
      </c>
      <c r="O927">
        <v>67</v>
      </c>
      <c r="P927" t="s">
        <v>44</v>
      </c>
      <c r="Q927" t="str">
        <f t="shared" si="59"/>
        <v>Expiry before Received</v>
      </c>
      <c r="R927" s="3">
        <f t="shared" si="57"/>
        <v>365</v>
      </c>
      <c r="S927">
        <f t="shared" si="56"/>
        <v>0</v>
      </c>
      <c r="T927" t="str">
        <f t="shared" si="58"/>
        <v>Sufficient Stock</v>
      </c>
    </row>
    <row r="928" spans="1:20" x14ac:dyDescent="0.3">
      <c r="A928" t="s">
        <v>3275</v>
      </c>
      <c r="B928" t="s">
        <v>1002</v>
      </c>
      <c r="C928" t="s">
        <v>47</v>
      </c>
      <c r="D928" t="s">
        <v>3276</v>
      </c>
      <c r="E928" t="s">
        <v>128</v>
      </c>
      <c r="F928">
        <v>60</v>
      </c>
      <c r="G928">
        <v>15</v>
      </c>
      <c r="H928">
        <v>89</v>
      </c>
      <c r="I928" s="1">
        <v>4</v>
      </c>
      <c r="J928" s="2">
        <v>45450</v>
      </c>
      <c r="K928" s="2">
        <v>45709</v>
      </c>
      <c r="L928" s="2">
        <v>45393</v>
      </c>
      <c r="M928" t="s">
        <v>3277</v>
      </c>
      <c r="N928">
        <v>21</v>
      </c>
      <c r="O928">
        <v>29</v>
      </c>
      <c r="P928" t="s">
        <v>26</v>
      </c>
      <c r="Q928" t="str">
        <f t="shared" si="59"/>
        <v>Expiry before Received</v>
      </c>
      <c r="R928" s="3">
        <f t="shared" si="57"/>
        <v>240</v>
      </c>
      <c r="S928">
        <f t="shared" si="56"/>
        <v>0</v>
      </c>
      <c r="T928" t="str">
        <f t="shared" si="58"/>
        <v>Sufficient Stock</v>
      </c>
    </row>
    <row r="929" spans="1:20" x14ac:dyDescent="0.3">
      <c r="A929" t="s">
        <v>3278</v>
      </c>
      <c r="B929" t="s">
        <v>545</v>
      </c>
      <c r="C929" t="s">
        <v>47</v>
      </c>
      <c r="D929" t="s">
        <v>3279</v>
      </c>
      <c r="E929" t="s">
        <v>299</v>
      </c>
      <c r="F929">
        <v>88</v>
      </c>
      <c r="G929">
        <v>24</v>
      </c>
      <c r="H929">
        <v>44</v>
      </c>
      <c r="I929" s="1">
        <v>6</v>
      </c>
      <c r="J929" s="2">
        <v>45601</v>
      </c>
      <c r="K929" s="2">
        <v>45604</v>
      </c>
      <c r="L929" s="2">
        <v>45644</v>
      </c>
      <c r="M929" t="s">
        <v>3280</v>
      </c>
      <c r="N929">
        <v>72</v>
      </c>
      <c r="O929">
        <v>88</v>
      </c>
      <c r="P929" t="s">
        <v>38</v>
      </c>
      <c r="Q929" t="str">
        <f t="shared" si="59"/>
        <v>OK</v>
      </c>
      <c r="R929" s="3">
        <f t="shared" si="57"/>
        <v>528</v>
      </c>
      <c r="S929">
        <f t="shared" si="56"/>
        <v>0</v>
      </c>
      <c r="T929" t="str">
        <f t="shared" si="58"/>
        <v>Sufficient Stock</v>
      </c>
    </row>
    <row r="930" spans="1:20" x14ac:dyDescent="0.3">
      <c r="A930" t="s">
        <v>3281</v>
      </c>
      <c r="B930" t="s">
        <v>594</v>
      </c>
      <c r="C930" t="s">
        <v>47</v>
      </c>
      <c r="D930" t="s">
        <v>3282</v>
      </c>
      <c r="E930" t="s">
        <v>299</v>
      </c>
      <c r="F930">
        <v>95</v>
      </c>
      <c r="G930">
        <v>6</v>
      </c>
      <c r="H930">
        <v>59</v>
      </c>
      <c r="I930" s="1">
        <v>2.5</v>
      </c>
      <c r="J930" s="2">
        <v>45657</v>
      </c>
      <c r="K930" s="2">
        <v>45519</v>
      </c>
      <c r="L930" s="2">
        <v>45564</v>
      </c>
      <c r="M930" t="s">
        <v>3283</v>
      </c>
      <c r="N930">
        <v>49</v>
      </c>
      <c r="O930">
        <v>77</v>
      </c>
      <c r="P930" t="s">
        <v>44</v>
      </c>
      <c r="Q930" t="str">
        <f t="shared" si="59"/>
        <v>Expiry before Received</v>
      </c>
      <c r="R930" s="3">
        <f t="shared" si="57"/>
        <v>237.5</v>
      </c>
      <c r="S930">
        <f t="shared" si="56"/>
        <v>0</v>
      </c>
      <c r="T930" t="str">
        <f t="shared" si="58"/>
        <v>Sufficient Stock</v>
      </c>
    </row>
    <row r="931" spans="1:20" x14ac:dyDescent="0.3">
      <c r="A931" t="s">
        <v>3284</v>
      </c>
      <c r="B931" t="s">
        <v>687</v>
      </c>
      <c r="C931" t="s">
        <v>22</v>
      </c>
      <c r="D931" t="s">
        <v>3285</v>
      </c>
      <c r="E931" t="s">
        <v>575</v>
      </c>
      <c r="F931">
        <v>47</v>
      </c>
      <c r="G931">
        <v>30</v>
      </c>
      <c r="H931">
        <v>16</v>
      </c>
      <c r="I931" s="1">
        <v>2.5</v>
      </c>
      <c r="J931" s="2">
        <v>45361</v>
      </c>
      <c r="K931" s="2">
        <v>45484</v>
      </c>
      <c r="L931" s="2">
        <v>45435</v>
      </c>
      <c r="M931" t="s">
        <v>3286</v>
      </c>
      <c r="N931">
        <v>22</v>
      </c>
      <c r="O931">
        <v>81</v>
      </c>
      <c r="P931" t="s">
        <v>44</v>
      </c>
      <c r="Q931" t="str">
        <f t="shared" si="59"/>
        <v>OK</v>
      </c>
      <c r="R931" s="3">
        <f t="shared" si="57"/>
        <v>117.5</v>
      </c>
      <c r="S931">
        <f t="shared" si="56"/>
        <v>0</v>
      </c>
      <c r="T931" t="str">
        <f t="shared" si="58"/>
        <v>Sufficient Stock</v>
      </c>
    </row>
    <row r="932" spans="1:20" x14ac:dyDescent="0.3">
      <c r="A932" t="s">
        <v>3287</v>
      </c>
      <c r="B932" t="s">
        <v>344</v>
      </c>
      <c r="C932" t="s">
        <v>64</v>
      </c>
      <c r="D932" t="s">
        <v>3288</v>
      </c>
      <c r="E932" t="s">
        <v>609</v>
      </c>
      <c r="F932">
        <v>24</v>
      </c>
      <c r="G932">
        <v>1</v>
      </c>
      <c r="H932">
        <v>65</v>
      </c>
      <c r="I932" s="1">
        <v>7</v>
      </c>
      <c r="J932" s="2">
        <v>45614</v>
      </c>
      <c r="K932" s="2">
        <v>45485</v>
      </c>
      <c r="L932" s="2">
        <v>45351</v>
      </c>
      <c r="M932" t="s">
        <v>3289</v>
      </c>
      <c r="N932">
        <v>58</v>
      </c>
      <c r="O932">
        <v>61</v>
      </c>
      <c r="P932" t="s">
        <v>44</v>
      </c>
      <c r="Q932" t="str">
        <f t="shared" si="59"/>
        <v>Expiry before Received</v>
      </c>
      <c r="R932" s="3">
        <f t="shared" si="57"/>
        <v>168</v>
      </c>
      <c r="S932">
        <f t="shared" si="56"/>
        <v>0</v>
      </c>
      <c r="T932" t="str">
        <f t="shared" si="58"/>
        <v>Sufficient Stock</v>
      </c>
    </row>
    <row r="933" spans="1:20" x14ac:dyDescent="0.3">
      <c r="A933" t="s">
        <v>3290</v>
      </c>
      <c r="B933" t="s">
        <v>800</v>
      </c>
      <c r="C933" t="s">
        <v>132</v>
      </c>
      <c r="D933" t="s">
        <v>3291</v>
      </c>
      <c r="E933" t="s">
        <v>932</v>
      </c>
      <c r="F933">
        <v>93</v>
      </c>
      <c r="G933">
        <v>51</v>
      </c>
      <c r="H933">
        <v>70</v>
      </c>
      <c r="I933" s="1">
        <v>10</v>
      </c>
      <c r="J933" s="2">
        <v>45404</v>
      </c>
      <c r="K933" s="2">
        <v>45455</v>
      </c>
      <c r="L933" s="2">
        <v>45539</v>
      </c>
      <c r="M933" t="s">
        <v>3292</v>
      </c>
      <c r="N933">
        <v>81</v>
      </c>
      <c r="O933">
        <v>18</v>
      </c>
      <c r="P933" t="s">
        <v>44</v>
      </c>
      <c r="Q933" t="str">
        <f t="shared" si="59"/>
        <v>OK</v>
      </c>
      <c r="R933" s="3">
        <f t="shared" si="57"/>
        <v>930</v>
      </c>
      <c r="S933">
        <f t="shared" si="56"/>
        <v>0</v>
      </c>
      <c r="T933" t="str">
        <f t="shared" si="58"/>
        <v>Sufficient Stock</v>
      </c>
    </row>
    <row r="934" spans="1:20" x14ac:dyDescent="0.3">
      <c r="A934" t="s">
        <v>3293</v>
      </c>
      <c r="B934" t="s">
        <v>864</v>
      </c>
      <c r="C934" t="s">
        <v>58</v>
      </c>
      <c r="D934" t="s">
        <v>3294</v>
      </c>
      <c r="E934" t="s">
        <v>3162</v>
      </c>
      <c r="F934">
        <v>80</v>
      </c>
      <c r="G934">
        <v>24</v>
      </c>
      <c r="H934">
        <v>60</v>
      </c>
      <c r="I934" s="1">
        <v>2.5</v>
      </c>
      <c r="J934" s="2">
        <v>45678</v>
      </c>
      <c r="K934" s="2">
        <v>45609</v>
      </c>
      <c r="L934" s="2">
        <v>45410</v>
      </c>
      <c r="M934" t="s">
        <v>3295</v>
      </c>
      <c r="N934">
        <v>98</v>
      </c>
      <c r="O934">
        <v>38</v>
      </c>
      <c r="P934" t="s">
        <v>44</v>
      </c>
      <c r="Q934" t="str">
        <f t="shared" si="59"/>
        <v>Expiry before Received</v>
      </c>
      <c r="R934" s="3">
        <f t="shared" si="57"/>
        <v>200</v>
      </c>
      <c r="S934">
        <f t="shared" si="56"/>
        <v>0</v>
      </c>
      <c r="T934" t="str">
        <f t="shared" si="58"/>
        <v>Sufficient Stock</v>
      </c>
    </row>
    <row r="935" spans="1:20" x14ac:dyDescent="0.3">
      <c r="A935" t="s">
        <v>3296</v>
      </c>
      <c r="B935" t="s">
        <v>1234</v>
      </c>
      <c r="C935" t="s">
        <v>47</v>
      </c>
      <c r="D935" t="s">
        <v>3297</v>
      </c>
      <c r="E935" t="s">
        <v>655</v>
      </c>
      <c r="F935">
        <v>77</v>
      </c>
      <c r="G935">
        <v>58</v>
      </c>
      <c r="H935">
        <v>13</v>
      </c>
      <c r="I935" s="1">
        <v>3.5</v>
      </c>
      <c r="J935" s="2">
        <v>45465</v>
      </c>
      <c r="K935" s="2">
        <v>45435</v>
      </c>
      <c r="L935" s="2">
        <v>45398</v>
      </c>
      <c r="M935" t="s">
        <v>3298</v>
      </c>
      <c r="N935">
        <v>63</v>
      </c>
      <c r="O935">
        <v>28</v>
      </c>
      <c r="P935" t="s">
        <v>26</v>
      </c>
      <c r="Q935" t="str">
        <f t="shared" si="59"/>
        <v>Expiry before Received</v>
      </c>
      <c r="R935" s="3">
        <f t="shared" si="57"/>
        <v>269.5</v>
      </c>
      <c r="S935">
        <f t="shared" si="56"/>
        <v>0</v>
      </c>
      <c r="T935" t="str">
        <f t="shared" si="58"/>
        <v>Sufficient Stock</v>
      </c>
    </row>
    <row r="936" spans="1:20" x14ac:dyDescent="0.3">
      <c r="A936" t="s">
        <v>3299</v>
      </c>
      <c r="B936" t="s">
        <v>137</v>
      </c>
      <c r="C936" t="s">
        <v>47</v>
      </c>
      <c r="D936" t="s">
        <v>3300</v>
      </c>
      <c r="E936" t="s">
        <v>634</v>
      </c>
      <c r="F936">
        <v>42</v>
      </c>
      <c r="G936">
        <v>48</v>
      </c>
      <c r="H936">
        <v>18</v>
      </c>
      <c r="I936" s="1">
        <v>2</v>
      </c>
      <c r="J936" s="2">
        <v>45666</v>
      </c>
      <c r="K936" s="2">
        <v>45401</v>
      </c>
      <c r="L936" s="2">
        <v>45405</v>
      </c>
      <c r="M936" t="s">
        <v>3301</v>
      </c>
      <c r="N936">
        <v>39</v>
      </c>
      <c r="O936">
        <v>57</v>
      </c>
      <c r="P936" t="s">
        <v>44</v>
      </c>
      <c r="Q936" t="str">
        <f t="shared" si="59"/>
        <v>Expiry before Received</v>
      </c>
      <c r="R936" s="3">
        <f t="shared" si="57"/>
        <v>84</v>
      </c>
      <c r="S936">
        <f t="shared" si="56"/>
        <v>6</v>
      </c>
      <c r="T936" t="str">
        <f t="shared" si="58"/>
        <v>Reorder Required</v>
      </c>
    </row>
    <row r="937" spans="1:20" x14ac:dyDescent="0.3">
      <c r="A937" t="s">
        <v>3302</v>
      </c>
      <c r="B937" t="s">
        <v>728</v>
      </c>
      <c r="C937" t="s">
        <v>64</v>
      </c>
      <c r="D937" t="s">
        <v>3303</v>
      </c>
      <c r="E937" t="s">
        <v>409</v>
      </c>
      <c r="F937">
        <v>92</v>
      </c>
      <c r="G937">
        <v>1</v>
      </c>
      <c r="H937">
        <v>23</v>
      </c>
      <c r="I937" s="1">
        <v>2.5</v>
      </c>
      <c r="J937" s="2">
        <v>45531</v>
      </c>
      <c r="K937" s="2">
        <v>45567</v>
      </c>
      <c r="L937" s="2">
        <v>45395</v>
      </c>
      <c r="M937" t="s">
        <v>3304</v>
      </c>
      <c r="N937">
        <v>78</v>
      </c>
      <c r="O937">
        <v>36</v>
      </c>
      <c r="P937" t="s">
        <v>26</v>
      </c>
      <c r="Q937" t="str">
        <f t="shared" si="59"/>
        <v>Expiry before Received</v>
      </c>
      <c r="R937" s="3">
        <f t="shared" si="57"/>
        <v>230</v>
      </c>
      <c r="S937">
        <f t="shared" si="56"/>
        <v>0</v>
      </c>
      <c r="T937" t="str">
        <f t="shared" si="58"/>
        <v>Sufficient Stock</v>
      </c>
    </row>
    <row r="938" spans="1:20" x14ac:dyDescent="0.3">
      <c r="A938" t="s">
        <v>3305</v>
      </c>
      <c r="B938" t="s">
        <v>162</v>
      </c>
      <c r="C938" t="s">
        <v>47</v>
      </c>
      <c r="D938" t="s">
        <v>3306</v>
      </c>
      <c r="E938" t="s">
        <v>1122</v>
      </c>
      <c r="F938">
        <v>81</v>
      </c>
      <c r="G938">
        <v>23</v>
      </c>
      <c r="H938">
        <v>17</v>
      </c>
      <c r="I938" s="1">
        <v>6.25</v>
      </c>
      <c r="J938" s="2">
        <v>45438</v>
      </c>
      <c r="K938" s="2">
        <v>45420</v>
      </c>
      <c r="L938" s="2">
        <v>45489</v>
      </c>
      <c r="M938" t="s">
        <v>3307</v>
      </c>
      <c r="N938">
        <v>92</v>
      </c>
      <c r="O938">
        <v>78</v>
      </c>
      <c r="P938" t="s">
        <v>44</v>
      </c>
      <c r="Q938" t="str">
        <f t="shared" si="59"/>
        <v>Last Order before Received</v>
      </c>
      <c r="R938" s="3">
        <f t="shared" si="57"/>
        <v>506.25</v>
      </c>
      <c r="S938">
        <f t="shared" si="56"/>
        <v>0</v>
      </c>
      <c r="T938" t="str">
        <f t="shared" si="58"/>
        <v>Sufficient Stock</v>
      </c>
    </row>
    <row r="939" spans="1:20" x14ac:dyDescent="0.3">
      <c r="A939" t="s">
        <v>3308</v>
      </c>
      <c r="B939" t="s">
        <v>467</v>
      </c>
      <c r="C939" t="s">
        <v>22</v>
      </c>
      <c r="D939" t="s">
        <v>3309</v>
      </c>
      <c r="E939" t="s">
        <v>3310</v>
      </c>
      <c r="F939">
        <v>46</v>
      </c>
      <c r="G939">
        <v>39</v>
      </c>
      <c r="H939">
        <v>11</v>
      </c>
      <c r="I939" s="1">
        <v>4.75</v>
      </c>
      <c r="J939" s="2">
        <v>45575</v>
      </c>
      <c r="K939" s="2">
        <v>45520</v>
      </c>
      <c r="L939" s="2">
        <v>45606</v>
      </c>
      <c r="M939" t="s">
        <v>3311</v>
      </c>
      <c r="N939">
        <v>36</v>
      </c>
      <c r="O939">
        <v>54</v>
      </c>
      <c r="P939" t="s">
        <v>44</v>
      </c>
      <c r="Q939" t="str">
        <f t="shared" si="59"/>
        <v>Last Order before Received</v>
      </c>
      <c r="R939" s="3">
        <f t="shared" si="57"/>
        <v>218.5</v>
      </c>
      <c r="S939">
        <f t="shared" si="56"/>
        <v>0</v>
      </c>
      <c r="T939" t="str">
        <f t="shared" si="58"/>
        <v>Sufficient Stock</v>
      </c>
    </row>
    <row r="940" spans="1:20" x14ac:dyDescent="0.3">
      <c r="A940" t="s">
        <v>3312</v>
      </c>
      <c r="B940" t="s">
        <v>1145</v>
      </c>
      <c r="C940" t="s">
        <v>22</v>
      </c>
      <c r="D940" t="s">
        <v>3313</v>
      </c>
      <c r="E940" t="s">
        <v>211</v>
      </c>
      <c r="F940">
        <v>44</v>
      </c>
      <c r="G940">
        <v>67</v>
      </c>
      <c r="H940">
        <v>31</v>
      </c>
      <c r="I940" s="1">
        <v>2.5</v>
      </c>
      <c r="J940" s="2">
        <v>45487</v>
      </c>
      <c r="K940" s="2">
        <v>45369</v>
      </c>
      <c r="L940" s="2">
        <v>45448</v>
      </c>
      <c r="M940" t="s">
        <v>3314</v>
      </c>
      <c r="N940">
        <v>44</v>
      </c>
      <c r="O940">
        <v>72</v>
      </c>
      <c r="P940" t="s">
        <v>26</v>
      </c>
      <c r="Q940" t="str">
        <f t="shared" si="59"/>
        <v>Expiry before Received</v>
      </c>
      <c r="R940" s="3">
        <f t="shared" si="57"/>
        <v>110</v>
      </c>
      <c r="S940">
        <f t="shared" si="56"/>
        <v>23</v>
      </c>
      <c r="T940" t="str">
        <f t="shared" si="58"/>
        <v>Reorder Required</v>
      </c>
    </row>
    <row r="941" spans="1:20" x14ac:dyDescent="0.3">
      <c r="A941" t="s">
        <v>3315</v>
      </c>
      <c r="B941" t="s">
        <v>243</v>
      </c>
      <c r="C941" t="s">
        <v>89</v>
      </c>
      <c r="D941" t="s">
        <v>3316</v>
      </c>
      <c r="E941" t="s">
        <v>897</v>
      </c>
      <c r="F941">
        <v>38</v>
      </c>
      <c r="G941">
        <v>37</v>
      </c>
      <c r="H941">
        <v>27</v>
      </c>
      <c r="I941" s="1">
        <v>3.5</v>
      </c>
      <c r="J941" s="2">
        <v>45457</v>
      </c>
      <c r="K941" s="2">
        <v>45570</v>
      </c>
      <c r="L941" s="2">
        <v>45487</v>
      </c>
      <c r="M941" t="s">
        <v>3317</v>
      </c>
      <c r="N941">
        <v>45</v>
      </c>
      <c r="O941">
        <v>88</v>
      </c>
      <c r="P941" t="s">
        <v>38</v>
      </c>
      <c r="Q941" t="str">
        <f t="shared" si="59"/>
        <v>OK</v>
      </c>
      <c r="R941" s="3">
        <f t="shared" si="57"/>
        <v>133</v>
      </c>
      <c r="S941">
        <f t="shared" si="56"/>
        <v>0</v>
      </c>
      <c r="T941" t="str">
        <f t="shared" si="58"/>
        <v>Sufficient Stock</v>
      </c>
    </row>
    <row r="942" spans="1:20" x14ac:dyDescent="0.3">
      <c r="A942" t="s">
        <v>3318</v>
      </c>
      <c r="B942" t="s">
        <v>1192</v>
      </c>
      <c r="C942" t="s">
        <v>64</v>
      </c>
      <c r="D942" t="s">
        <v>3319</v>
      </c>
      <c r="E942" t="s">
        <v>1139</v>
      </c>
      <c r="F942">
        <v>64</v>
      </c>
      <c r="G942">
        <v>28</v>
      </c>
      <c r="H942">
        <v>35</v>
      </c>
      <c r="I942" s="1">
        <v>2</v>
      </c>
      <c r="J942" s="2">
        <v>45601</v>
      </c>
      <c r="K942" s="2">
        <v>45603</v>
      </c>
      <c r="L942" s="2">
        <v>45349</v>
      </c>
      <c r="M942" t="s">
        <v>3320</v>
      </c>
      <c r="N942">
        <v>74</v>
      </c>
      <c r="O942">
        <v>50</v>
      </c>
      <c r="P942" t="s">
        <v>44</v>
      </c>
      <c r="Q942" t="str">
        <f t="shared" si="59"/>
        <v>Expiry before Received</v>
      </c>
      <c r="R942" s="3">
        <f t="shared" si="57"/>
        <v>128</v>
      </c>
      <c r="S942">
        <f t="shared" si="56"/>
        <v>0</v>
      </c>
      <c r="T942" t="str">
        <f t="shared" si="58"/>
        <v>Sufficient Stock</v>
      </c>
    </row>
    <row r="943" spans="1:20" x14ac:dyDescent="0.3">
      <c r="A943" t="s">
        <v>3321</v>
      </c>
      <c r="B943" t="s">
        <v>40</v>
      </c>
      <c r="C943" t="s">
        <v>22</v>
      </c>
      <c r="D943" t="s">
        <v>3322</v>
      </c>
      <c r="E943" t="s">
        <v>1443</v>
      </c>
      <c r="F943">
        <v>39</v>
      </c>
      <c r="G943">
        <v>2</v>
      </c>
      <c r="H943">
        <v>71</v>
      </c>
      <c r="I943" s="1">
        <v>1.45</v>
      </c>
      <c r="J943" s="2">
        <v>45411</v>
      </c>
      <c r="K943" s="2">
        <v>45369</v>
      </c>
      <c r="L943" s="2">
        <v>45403</v>
      </c>
      <c r="M943" t="s">
        <v>3323</v>
      </c>
      <c r="N943">
        <v>20</v>
      </c>
      <c r="O943">
        <v>70</v>
      </c>
      <c r="P943" t="s">
        <v>38</v>
      </c>
      <c r="Q943" t="str">
        <f t="shared" si="59"/>
        <v>Expiry before Received</v>
      </c>
      <c r="R943" s="3">
        <f t="shared" si="57"/>
        <v>56.55</v>
      </c>
      <c r="S943">
        <f t="shared" si="56"/>
        <v>0</v>
      </c>
      <c r="T943" t="str">
        <f t="shared" si="58"/>
        <v>Sufficient Stock</v>
      </c>
    </row>
    <row r="944" spans="1:20" x14ac:dyDescent="0.3">
      <c r="A944" t="s">
        <v>3324</v>
      </c>
      <c r="B944" t="s">
        <v>282</v>
      </c>
      <c r="C944" t="s">
        <v>89</v>
      </c>
      <c r="D944" t="s">
        <v>3325</v>
      </c>
      <c r="E944" t="s">
        <v>2847</v>
      </c>
      <c r="F944">
        <v>42</v>
      </c>
      <c r="G944">
        <v>88</v>
      </c>
      <c r="H944">
        <v>95</v>
      </c>
      <c r="I944" s="1">
        <v>2.5</v>
      </c>
      <c r="J944" s="2">
        <v>45379</v>
      </c>
      <c r="K944" s="2">
        <v>45685</v>
      </c>
      <c r="L944" s="2">
        <v>45406</v>
      </c>
      <c r="M944" t="s">
        <v>3326</v>
      </c>
      <c r="N944">
        <v>67</v>
      </c>
      <c r="O944">
        <v>94</v>
      </c>
      <c r="P944" t="s">
        <v>38</v>
      </c>
      <c r="Q944" t="str">
        <f t="shared" si="59"/>
        <v>OK</v>
      </c>
      <c r="R944" s="3">
        <f t="shared" si="57"/>
        <v>105</v>
      </c>
      <c r="S944">
        <f t="shared" si="56"/>
        <v>46</v>
      </c>
      <c r="T944" t="str">
        <f t="shared" si="58"/>
        <v>Reorder Required</v>
      </c>
    </row>
    <row r="945" spans="1:20" x14ac:dyDescent="0.3">
      <c r="A945" t="s">
        <v>3327</v>
      </c>
      <c r="B945" t="s">
        <v>83</v>
      </c>
      <c r="C945" t="s">
        <v>22</v>
      </c>
      <c r="D945" t="s">
        <v>3328</v>
      </c>
      <c r="E945" t="s">
        <v>753</v>
      </c>
      <c r="F945">
        <v>29</v>
      </c>
      <c r="G945">
        <v>54</v>
      </c>
      <c r="H945">
        <v>54</v>
      </c>
      <c r="I945" s="1">
        <v>2</v>
      </c>
      <c r="J945" s="2">
        <v>45592</v>
      </c>
      <c r="K945" s="2">
        <v>45712</v>
      </c>
      <c r="L945" s="2">
        <v>45651</v>
      </c>
      <c r="M945" t="s">
        <v>3329</v>
      </c>
      <c r="N945">
        <v>58</v>
      </c>
      <c r="O945">
        <v>63</v>
      </c>
      <c r="P945" t="s">
        <v>38</v>
      </c>
      <c r="Q945" t="str">
        <f t="shared" si="59"/>
        <v>OK</v>
      </c>
      <c r="R945" s="3">
        <f t="shared" si="57"/>
        <v>58</v>
      </c>
      <c r="S945">
        <f t="shared" si="56"/>
        <v>25</v>
      </c>
      <c r="T945" t="str">
        <f t="shared" si="58"/>
        <v>Reorder Required</v>
      </c>
    </row>
    <row r="946" spans="1:20" x14ac:dyDescent="0.3">
      <c r="A946" t="s">
        <v>3330</v>
      </c>
      <c r="B946" t="s">
        <v>176</v>
      </c>
      <c r="C946" t="s">
        <v>47</v>
      </c>
      <c r="D946" t="s">
        <v>3331</v>
      </c>
      <c r="E946" t="s">
        <v>618</v>
      </c>
      <c r="F946">
        <v>60</v>
      </c>
      <c r="G946">
        <v>63</v>
      </c>
      <c r="H946">
        <v>81</v>
      </c>
      <c r="I946" s="1">
        <v>1.8</v>
      </c>
      <c r="J946" s="2">
        <v>45683</v>
      </c>
      <c r="K946" s="2">
        <v>45568</v>
      </c>
      <c r="L946" s="2">
        <v>45413</v>
      </c>
      <c r="M946" t="s">
        <v>3332</v>
      </c>
      <c r="N946">
        <v>74</v>
      </c>
      <c r="O946">
        <v>31</v>
      </c>
      <c r="P946" t="s">
        <v>44</v>
      </c>
      <c r="Q946" t="str">
        <f t="shared" si="59"/>
        <v>Expiry before Received</v>
      </c>
      <c r="R946" s="3">
        <f t="shared" si="57"/>
        <v>108</v>
      </c>
      <c r="S946">
        <f t="shared" si="56"/>
        <v>3</v>
      </c>
      <c r="T946" t="str">
        <f t="shared" si="58"/>
        <v>Reorder Required</v>
      </c>
    </row>
    <row r="947" spans="1:20" x14ac:dyDescent="0.3">
      <c r="A947" t="s">
        <v>3333</v>
      </c>
      <c r="B947" t="s">
        <v>147</v>
      </c>
      <c r="C947" t="s">
        <v>64</v>
      </c>
      <c r="D947" t="s">
        <v>3334</v>
      </c>
      <c r="E947" t="s">
        <v>907</v>
      </c>
      <c r="F947">
        <v>65</v>
      </c>
      <c r="G947">
        <v>54</v>
      </c>
      <c r="H947">
        <v>29</v>
      </c>
      <c r="I947" s="1">
        <v>12</v>
      </c>
      <c r="J947" s="2">
        <v>45626</v>
      </c>
      <c r="K947" s="2">
        <v>45625</v>
      </c>
      <c r="L947" s="2">
        <v>45394</v>
      </c>
      <c r="M947" t="s">
        <v>3335</v>
      </c>
      <c r="N947">
        <v>69</v>
      </c>
      <c r="O947">
        <v>79</v>
      </c>
      <c r="P947" t="s">
        <v>38</v>
      </c>
      <c r="Q947" t="str">
        <f t="shared" si="59"/>
        <v>Expiry before Received</v>
      </c>
      <c r="R947" s="3">
        <f t="shared" si="57"/>
        <v>780</v>
      </c>
      <c r="S947">
        <f t="shared" si="56"/>
        <v>0</v>
      </c>
      <c r="T947" t="str">
        <f t="shared" si="58"/>
        <v>Sufficient Stock</v>
      </c>
    </row>
    <row r="948" spans="1:20" x14ac:dyDescent="0.3">
      <c r="A948" t="s">
        <v>3336</v>
      </c>
      <c r="B948" t="s">
        <v>368</v>
      </c>
      <c r="C948" t="s">
        <v>47</v>
      </c>
      <c r="D948" t="s">
        <v>3337</v>
      </c>
      <c r="E948" t="s">
        <v>3338</v>
      </c>
      <c r="F948">
        <v>89</v>
      </c>
      <c r="G948">
        <v>96</v>
      </c>
      <c r="H948">
        <v>94</v>
      </c>
      <c r="I948" s="1">
        <v>4.5</v>
      </c>
      <c r="J948" s="2">
        <v>45453</v>
      </c>
      <c r="K948" s="2">
        <v>45663</v>
      </c>
      <c r="L948" s="2">
        <v>45554</v>
      </c>
      <c r="M948" t="s">
        <v>3339</v>
      </c>
      <c r="N948">
        <v>38</v>
      </c>
      <c r="O948">
        <v>96</v>
      </c>
      <c r="P948" t="s">
        <v>26</v>
      </c>
      <c r="Q948" t="str">
        <f t="shared" si="59"/>
        <v>OK</v>
      </c>
      <c r="R948" s="3">
        <f t="shared" si="57"/>
        <v>400.5</v>
      </c>
      <c r="S948">
        <f t="shared" si="56"/>
        <v>7</v>
      </c>
      <c r="T948" t="str">
        <f t="shared" si="58"/>
        <v>Reorder Required</v>
      </c>
    </row>
    <row r="949" spans="1:20" x14ac:dyDescent="0.3">
      <c r="A949" t="s">
        <v>3340</v>
      </c>
      <c r="B949" t="s">
        <v>57</v>
      </c>
      <c r="C949" t="s">
        <v>58</v>
      </c>
      <c r="D949" t="s">
        <v>3341</v>
      </c>
      <c r="E949" t="s">
        <v>638</v>
      </c>
      <c r="F949">
        <v>50</v>
      </c>
      <c r="G949">
        <v>40</v>
      </c>
      <c r="H949">
        <v>69</v>
      </c>
      <c r="I949" s="1">
        <v>2.5</v>
      </c>
      <c r="J949" s="2">
        <v>45473</v>
      </c>
      <c r="K949" s="2">
        <v>45382</v>
      </c>
      <c r="L949" s="2">
        <v>45530</v>
      </c>
      <c r="M949" t="s">
        <v>3342</v>
      </c>
      <c r="N949">
        <v>28</v>
      </c>
      <c r="O949">
        <v>98</v>
      </c>
      <c r="P949" t="s">
        <v>44</v>
      </c>
      <c r="Q949" t="str">
        <f t="shared" si="59"/>
        <v>Last Order before Received</v>
      </c>
      <c r="R949" s="3">
        <f t="shared" si="57"/>
        <v>125</v>
      </c>
      <c r="S949">
        <f t="shared" si="56"/>
        <v>0</v>
      </c>
      <c r="T949" t="str">
        <f t="shared" si="58"/>
        <v>Sufficient Stock</v>
      </c>
    </row>
    <row r="950" spans="1:20" x14ac:dyDescent="0.3">
      <c r="A950" t="s">
        <v>3343</v>
      </c>
      <c r="B950" t="s">
        <v>368</v>
      </c>
      <c r="C950" t="s">
        <v>47</v>
      </c>
      <c r="D950" t="s">
        <v>3344</v>
      </c>
      <c r="E950" t="s">
        <v>477</v>
      </c>
      <c r="F950">
        <v>94</v>
      </c>
      <c r="G950">
        <v>18</v>
      </c>
      <c r="H950">
        <v>84</v>
      </c>
      <c r="I950" s="1">
        <v>4.5</v>
      </c>
      <c r="J950" s="2">
        <v>45661</v>
      </c>
      <c r="K950" s="2">
        <v>45580</v>
      </c>
      <c r="L950" s="2">
        <v>45552</v>
      </c>
      <c r="M950" t="s">
        <v>3345</v>
      </c>
      <c r="N950">
        <v>44</v>
      </c>
      <c r="O950">
        <v>49</v>
      </c>
      <c r="P950" t="s">
        <v>26</v>
      </c>
      <c r="Q950" t="str">
        <f t="shared" si="59"/>
        <v>Expiry before Received</v>
      </c>
      <c r="R950" s="3">
        <f t="shared" si="57"/>
        <v>423</v>
      </c>
      <c r="S950">
        <f t="shared" si="56"/>
        <v>0</v>
      </c>
      <c r="T950" t="str">
        <f t="shared" si="58"/>
        <v>Sufficient Stock</v>
      </c>
    </row>
    <row r="951" spans="1:20" x14ac:dyDescent="0.3">
      <c r="A951" t="s">
        <v>3346</v>
      </c>
      <c r="B951" t="s">
        <v>599</v>
      </c>
      <c r="C951" t="s">
        <v>58</v>
      </c>
      <c r="D951" t="s">
        <v>3347</v>
      </c>
      <c r="E951" t="s">
        <v>2353</v>
      </c>
      <c r="F951">
        <v>97</v>
      </c>
      <c r="G951">
        <v>32</v>
      </c>
      <c r="H951">
        <v>43</v>
      </c>
      <c r="I951" s="1">
        <v>2.2999999999999998</v>
      </c>
      <c r="J951" s="2">
        <v>45571</v>
      </c>
      <c r="K951" s="2">
        <v>45415</v>
      </c>
      <c r="L951" s="2">
        <v>45442</v>
      </c>
      <c r="M951" t="s">
        <v>3348</v>
      </c>
      <c r="N951">
        <v>82</v>
      </c>
      <c r="O951">
        <v>98</v>
      </c>
      <c r="P951" t="s">
        <v>44</v>
      </c>
      <c r="Q951" t="str">
        <f t="shared" si="59"/>
        <v>Expiry before Received</v>
      </c>
      <c r="R951" s="3">
        <f t="shared" si="57"/>
        <v>223.1</v>
      </c>
      <c r="S951">
        <f t="shared" si="56"/>
        <v>0</v>
      </c>
      <c r="T951" t="str">
        <f t="shared" si="58"/>
        <v>Sufficient Stock</v>
      </c>
    </row>
    <row r="952" spans="1:20" x14ac:dyDescent="0.3">
      <c r="A952" t="s">
        <v>3349</v>
      </c>
      <c r="B952" t="s">
        <v>983</v>
      </c>
      <c r="C952" t="s">
        <v>89</v>
      </c>
      <c r="D952" t="s">
        <v>3350</v>
      </c>
      <c r="E952" t="s">
        <v>2199</v>
      </c>
      <c r="F952">
        <v>72</v>
      </c>
      <c r="G952">
        <v>78</v>
      </c>
      <c r="H952">
        <v>1</v>
      </c>
      <c r="I952" s="1">
        <v>4</v>
      </c>
      <c r="J952" s="2">
        <v>45606</v>
      </c>
      <c r="K952" s="2">
        <v>45379</v>
      </c>
      <c r="L952" s="2">
        <v>45660</v>
      </c>
      <c r="M952" t="s">
        <v>3351</v>
      </c>
      <c r="N952">
        <v>85</v>
      </c>
      <c r="O952">
        <v>30</v>
      </c>
      <c r="P952" t="s">
        <v>26</v>
      </c>
      <c r="Q952" t="str">
        <f t="shared" si="59"/>
        <v>Last Order before Received</v>
      </c>
      <c r="R952" s="3">
        <f t="shared" si="57"/>
        <v>288</v>
      </c>
      <c r="S952">
        <f t="shared" si="56"/>
        <v>6</v>
      </c>
      <c r="T952" t="str">
        <f t="shared" si="58"/>
        <v>Reorder Required</v>
      </c>
    </row>
    <row r="953" spans="1:20" x14ac:dyDescent="0.3">
      <c r="A953" t="s">
        <v>3352</v>
      </c>
      <c r="B953" t="s">
        <v>407</v>
      </c>
      <c r="C953" t="s">
        <v>64</v>
      </c>
      <c r="D953" t="s">
        <v>3353</v>
      </c>
      <c r="E953" t="s">
        <v>3354</v>
      </c>
      <c r="F953">
        <v>62</v>
      </c>
      <c r="G953">
        <v>91</v>
      </c>
      <c r="H953">
        <v>14</v>
      </c>
      <c r="I953" s="1">
        <v>2.5</v>
      </c>
      <c r="J953" s="2">
        <v>45556</v>
      </c>
      <c r="K953" s="2">
        <v>45443</v>
      </c>
      <c r="L953" s="2">
        <v>45634</v>
      </c>
      <c r="M953" t="s">
        <v>3355</v>
      </c>
      <c r="N953">
        <v>41</v>
      </c>
      <c r="O953">
        <v>77</v>
      </c>
      <c r="P953" t="s">
        <v>26</v>
      </c>
      <c r="Q953" t="str">
        <f t="shared" si="59"/>
        <v>Last Order before Received</v>
      </c>
      <c r="R953" s="3">
        <f t="shared" si="57"/>
        <v>155</v>
      </c>
      <c r="S953">
        <f t="shared" si="56"/>
        <v>29</v>
      </c>
      <c r="T953" t="str">
        <f t="shared" si="58"/>
        <v>Reorder Required</v>
      </c>
    </row>
    <row r="954" spans="1:20" x14ac:dyDescent="0.3">
      <c r="A954" t="s">
        <v>3356</v>
      </c>
      <c r="B954" t="s">
        <v>1234</v>
      </c>
      <c r="C954" t="s">
        <v>47</v>
      </c>
      <c r="D954" t="s">
        <v>3357</v>
      </c>
      <c r="E954" t="s">
        <v>1311</v>
      </c>
      <c r="F954">
        <v>44</v>
      </c>
      <c r="G954">
        <v>92</v>
      </c>
      <c r="H954">
        <v>92</v>
      </c>
      <c r="I954" s="1">
        <v>3.5</v>
      </c>
      <c r="J954" s="2">
        <v>45359</v>
      </c>
      <c r="K954" s="2">
        <v>45668</v>
      </c>
      <c r="L954" s="2">
        <v>45560</v>
      </c>
      <c r="M954" t="s">
        <v>3358</v>
      </c>
      <c r="N954">
        <v>41</v>
      </c>
      <c r="O954">
        <v>61</v>
      </c>
      <c r="P954" t="s">
        <v>44</v>
      </c>
      <c r="Q954" t="str">
        <f t="shared" si="59"/>
        <v>OK</v>
      </c>
      <c r="R954" s="3">
        <f t="shared" si="57"/>
        <v>154</v>
      </c>
      <c r="S954">
        <f t="shared" si="56"/>
        <v>48</v>
      </c>
      <c r="T954" t="str">
        <f t="shared" si="58"/>
        <v>Reorder Required</v>
      </c>
    </row>
    <row r="955" spans="1:20" x14ac:dyDescent="0.3">
      <c r="A955" t="s">
        <v>3359</v>
      </c>
      <c r="B955" t="s">
        <v>435</v>
      </c>
      <c r="C955" t="s">
        <v>58</v>
      </c>
      <c r="D955" t="s">
        <v>3360</v>
      </c>
      <c r="E955" t="s">
        <v>928</v>
      </c>
      <c r="F955">
        <v>21</v>
      </c>
      <c r="G955">
        <v>25</v>
      </c>
      <c r="H955">
        <v>39</v>
      </c>
      <c r="I955" s="1">
        <v>4</v>
      </c>
      <c r="J955" s="2">
        <v>45503</v>
      </c>
      <c r="K955" s="2">
        <v>45545</v>
      </c>
      <c r="L955" s="2">
        <v>45351</v>
      </c>
      <c r="M955" t="s">
        <v>3361</v>
      </c>
      <c r="N955">
        <v>79</v>
      </c>
      <c r="O955">
        <v>30</v>
      </c>
      <c r="P955" t="s">
        <v>44</v>
      </c>
      <c r="Q955" t="str">
        <f t="shared" si="59"/>
        <v>Expiry before Received</v>
      </c>
      <c r="R955" s="3">
        <f t="shared" si="57"/>
        <v>84</v>
      </c>
      <c r="S955">
        <f t="shared" si="56"/>
        <v>4</v>
      </c>
      <c r="T955" t="str">
        <f t="shared" si="58"/>
        <v>Reorder Required</v>
      </c>
    </row>
    <row r="956" spans="1:20" x14ac:dyDescent="0.3">
      <c r="A956" t="s">
        <v>3362</v>
      </c>
      <c r="B956" t="s">
        <v>1264</v>
      </c>
      <c r="C956" t="s">
        <v>22</v>
      </c>
      <c r="D956" t="s">
        <v>3363</v>
      </c>
      <c r="E956" t="s">
        <v>848</v>
      </c>
      <c r="F956">
        <v>91</v>
      </c>
      <c r="G956">
        <v>39</v>
      </c>
      <c r="H956">
        <v>48</v>
      </c>
      <c r="I956" s="1">
        <v>5</v>
      </c>
      <c r="J956" s="2">
        <v>45382</v>
      </c>
      <c r="K956" s="2">
        <v>45647</v>
      </c>
      <c r="L956" s="2">
        <v>45612</v>
      </c>
      <c r="M956" t="s">
        <v>3364</v>
      </c>
      <c r="N956">
        <v>48</v>
      </c>
      <c r="O956">
        <v>18</v>
      </c>
      <c r="P956" t="s">
        <v>44</v>
      </c>
      <c r="Q956" t="str">
        <f t="shared" si="59"/>
        <v>OK</v>
      </c>
      <c r="R956" s="3">
        <f t="shared" si="57"/>
        <v>455</v>
      </c>
      <c r="S956">
        <f t="shared" si="56"/>
        <v>0</v>
      </c>
      <c r="T956" t="str">
        <f t="shared" si="58"/>
        <v>Sufficient Stock</v>
      </c>
    </row>
    <row r="957" spans="1:20" x14ac:dyDescent="0.3">
      <c r="A957" t="s">
        <v>3365</v>
      </c>
      <c r="B957" t="s">
        <v>624</v>
      </c>
      <c r="C957" t="s">
        <v>132</v>
      </c>
      <c r="D957" t="s">
        <v>3366</v>
      </c>
      <c r="E957" t="s">
        <v>1454</v>
      </c>
      <c r="F957">
        <v>87</v>
      </c>
      <c r="G957">
        <v>24</v>
      </c>
      <c r="H957">
        <v>66</v>
      </c>
      <c r="I957" s="1">
        <v>18</v>
      </c>
      <c r="J957" s="2">
        <v>45432</v>
      </c>
      <c r="K957" s="2">
        <v>45620</v>
      </c>
      <c r="L957" s="2">
        <v>45416</v>
      </c>
      <c r="M957" t="s">
        <v>3367</v>
      </c>
      <c r="N957">
        <v>22</v>
      </c>
      <c r="O957">
        <v>34</v>
      </c>
      <c r="P957" t="s">
        <v>44</v>
      </c>
      <c r="Q957" t="str">
        <f t="shared" si="59"/>
        <v>Expiry before Received</v>
      </c>
      <c r="R957" s="3">
        <f t="shared" si="57"/>
        <v>1566</v>
      </c>
      <c r="S957">
        <f t="shared" si="56"/>
        <v>0</v>
      </c>
      <c r="T957" t="str">
        <f t="shared" si="58"/>
        <v>Sufficient Stock</v>
      </c>
    </row>
    <row r="958" spans="1:20" x14ac:dyDescent="0.3">
      <c r="A958" t="s">
        <v>3368</v>
      </c>
      <c r="B958" t="s">
        <v>126</v>
      </c>
      <c r="C958" t="s">
        <v>47</v>
      </c>
      <c r="D958" t="s">
        <v>3369</v>
      </c>
      <c r="E958" t="s">
        <v>1789</v>
      </c>
      <c r="F958">
        <v>61</v>
      </c>
      <c r="G958">
        <v>17</v>
      </c>
      <c r="H958">
        <v>69</v>
      </c>
      <c r="I958" s="1">
        <v>2.52</v>
      </c>
      <c r="J958" s="2">
        <v>45434</v>
      </c>
      <c r="K958" s="2">
        <v>45419</v>
      </c>
      <c r="L958" s="2">
        <v>45460</v>
      </c>
      <c r="M958" t="s">
        <v>3370</v>
      </c>
      <c r="N958">
        <v>31</v>
      </c>
      <c r="O958">
        <v>29</v>
      </c>
      <c r="P958" t="s">
        <v>44</v>
      </c>
      <c r="Q958" t="str">
        <f t="shared" si="59"/>
        <v>Last Order before Received</v>
      </c>
      <c r="R958" s="3">
        <f t="shared" si="57"/>
        <v>153.72</v>
      </c>
      <c r="S958">
        <f t="shared" si="56"/>
        <v>0</v>
      </c>
      <c r="T958" t="str">
        <f t="shared" si="58"/>
        <v>Sufficient Stock</v>
      </c>
    </row>
    <row r="959" spans="1:20" x14ac:dyDescent="0.3">
      <c r="A959" t="s">
        <v>3371</v>
      </c>
      <c r="B959" t="s">
        <v>311</v>
      </c>
      <c r="C959" t="s">
        <v>47</v>
      </c>
      <c r="D959" t="s">
        <v>3372</v>
      </c>
      <c r="E959" t="s">
        <v>583</v>
      </c>
      <c r="F959">
        <v>61</v>
      </c>
      <c r="G959">
        <v>81</v>
      </c>
      <c r="H959">
        <v>99</v>
      </c>
      <c r="I959" s="1">
        <v>1.5</v>
      </c>
      <c r="J959" s="2">
        <v>45592</v>
      </c>
      <c r="K959" s="2">
        <v>45364</v>
      </c>
      <c r="L959" s="2">
        <v>45406</v>
      </c>
      <c r="M959" t="s">
        <v>3373</v>
      </c>
      <c r="N959">
        <v>26</v>
      </c>
      <c r="O959">
        <v>76</v>
      </c>
      <c r="P959" t="s">
        <v>26</v>
      </c>
      <c r="Q959" t="str">
        <f t="shared" si="59"/>
        <v>Expiry before Received</v>
      </c>
      <c r="R959" s="3">
        <f t="shared" si="57"/>
        <v>91.5</v>
      </c>
      <c r="S959">
        <f t="shared" si="56"/>
        <v>20</v>
      </c>
      <c r="T959" t="str">
        <f t="shared" si="58"/>
        <v>Reorder Required</v>
      </c>
    </row>
    <row r="960" spans="1:20" x14ac:dyDescent="0.3">
      <c r="A960" t="s">
        <v>3374</v>
      </c>
      <c r="B960" t="s">
        <v>1531</v>
      </c>
      <c r="C960" t="s">
        <v>47</v>
      </c>
      <c r="D960" t="s">
        <v>3375</v>
      </c>
      <c r="E960" t="s">
        <v>2173</v>
      </c>
      <c r="F960">
        <v>49</v>
      </c>
      <c r="G960">
        <v>1</v>
      </c>
      <c r="H960">
        <v>28</v>
      </c>
      <c r="I960" s="1">
        <v>2</v>
      </c>
      <c r="J960" s="2">
        <v>45627</v>
      </c>
      <c r="K960" s="2">
        <v>45649</v>
      </c>
      <c r="L960" s="2">
        <v>45614</v>
      </c>
      <c r="M960" t="s">
        <v>3376</v>
      </c>
      <c r="N960">
        <v>97</v>
      </c>
      <c r="O960">
        <v>95</v>
      </c>
      <c r="P960" t="s">
        <v>44</v>
      </c>
      <c r="Q960" t="str">
        <f t="shared" si="59"/>
        <v>Expiry before Received</v>
      </c>
      <c r="R960" s="3">
        <f t="shared" si="57"/>
        <v>98</v>
      </c>
      <c r="S960">
        <f t="shared" si="56"/>
        <v>0</v>
      </c>
      <c r="T960" t="str">
        <f t="shared" si="58"/>
        <v>Sufficient Stock</v>
      </c>
    </row>
    <row r="961" spans="1:20" x14ac:dyDescent="0.3">
      <c r="A961" t="s">
        <v>3377</v>
      </c>
      <c r="B961" t="s">
        <v>229</v>
      </c>
      <c r="C961" t="s">
        <v>47</v>
      </c>
      <c r="D961" t="s">
        <v>3378</v>
      </c>
      <c r="E961" t="s">
        <v>2389</v>
      </c>
      <c r="F961">
        <v>87</v>
      </c>
      <c r="G961">
        <v>1</v>
      </c>
      <c r="H961">
        <v>98</v>
      </c>
      <c r="I961" s="1">
        <v>2.5</v>
      </c>
      <c r="J961" s="2">
        <v>45389</v>
      </c>
      <c r="K961" s="2">
        <v>45572</v>
      </c>
      <c r="L961" s="2">
        <v>45492</v>
      </c>
      <c r="M961" t="s">
        <v>3379</v>
      </c>
      <c r="N961">
        <v>61</v>
      </c>
      <c r="O961">
        <v>84</v>
      </c>
      <c r="P961" t="s">
        <v>26</v>
      </c>
      <c r="Q961" t="str">
        <f t="shared" si="59"/>
        <v>OK</v>
      </c>
      <c r="R961" s="3">
        <f t="shared" si="57"/>
        <v>217.5</v>
      </c>
      <c r="S961">
        <f t="shared" si="56"/>
        <v>0</v>
      </c>
      <c r="T961" t="str">
        <f t="shared" si="58"/>
        <v>Sufficient Stock</v>
      </c>
    </row>
    <row r="962" spans="1:20" x14ac:dyDescent="0.3">
      <c r="A962" t="s">
        <v>3380</v>
      </c>
      <c r="B962" t="s">
        <v>243</v>
      </c>
      <c r="C962" t="s">
        <v>89</v>
      </c>
      <c r="D962" t="s">
        <v>3381</v>
      </c>
      <c r="E962" t="s">
        <v>271</v>
      </c>
      <c r="F962">
        <v>93</v>
      </c>
      <c r="G962">
        <v>55</v>
      </c>
      <c r="H962">
        <v>95</v>
      </c>
      <c r="I962" s="1">
        <v>3.25</v>
      </c>
      <c r="J962" s="2">
        <v>45699</v>
      </c>
      <c r="K962" s="2">
        <v>45356</v>
      </c>
      <c r="L962" s="2">
        <v>45645</v>
      </c>
      <c r="M962" t="s">
        <v>3382</v>
      </c>
      <c r="N962">
        <v>56</v>
      </c>
      <c r="O962">
        <v>72</v>
      </c>
      <c r="P962" t="s">
        <v>38</v>
      </c>
      <c r="Q962" t="str">
        <f t="shared" si="59"/>
        <v>Expiry before Received</v>
      </c>
      <c r="R962" s="3">
        <f t="shared" si="57"/>
        <v>302.25</v>
      </c>
      <c r="S962">
        <f t="shared" ref="S962:S991" si="60">MAX(0,G962-F962)</f>
        <v>0</v>
      </c>
      <c r="T962" t="str">
        <f t="shared" si="58"/>
        <v>Sufficient Stock</v>
      </c>
    </row>
    <row r="963" spans="1:20" x14ac:dyDescent="0.3">
      <c r="A963" t="s">
        <v>3383</v>
      </c>
      <c r="B963" t="s">
        <v>828</v>
      </c>
      <c r="C963" t="s">
        <v>22</v>
      </c>
      <c r="D963" t="s">
        <v>3384</v>
      </c>
      <c r="E963" t="s">
        <v>662</v>
      </c>
      <c r="F963">
        <v>55</v>
      </c>
      <c r="G963">
        <v>13</v>
      </c>
      <c r="H963">
        <v>71</v>
      </c>
      <c r="I963" s="1">
        <v>4.45</v>
      </c>
      <c r="J963" s="2">
        <v>45408</v>
      </c>
      <c r="K963" s="2">
        <v>45587</v>
      </c>
      <c r="L963" s="2">
        <v>45396</v>
      </c>
      <c r="M963" t="s">
        <v>3385</v>
      </c>
      <c r="N963">
        <v>37</v>
      </c>
      <c r="O963">
        <v>4</v>
      </c>
      <c r="P963" t="s">
        <v>38</v>
      </c>
      <c r="Q963" t="str">
        <f t="shared" si="59"/>
        <v>Expiry before Received</v>
      </c>
      <c r="R963" s="3">
        <f t="shared" ref="R963:R991" si="61">F963*I963</f>
        <v>244.75</v>
      </c>
      <c r="S963">
        <f t="shared" si="60"/>
        <v>0</v>
      </c>
      <c r="T963" t="str">
        <f t="shared" ref="T963:T991" si="62">IF(F963&lt;G963,"Reorder Required","Sufficient Stock")</f>
        <v>Sufficient Stock</v>
      </c>
    </row>
    <row r="964" spans="1:20" x14ac:dyDescent="0.3">
      <c r="A964" t="s">
        <v>3386</v>
      </c>
      <c r="B964" t="s">
        <v>645</v>
      </c>
      <c r="C964" t="s">
        <v>64</v>
      </c>
      <c r="D964" t="s">
        <v>3387</v>
      </c>
      <c r="E964" t="s">
        <v>2464</v>
      </c>
      <c r="F964">
        <v>29</v>
      </c>
      <c r="G964">
        <v>39</v>
      </c>
      <c r="H964">
        <v>80</v>
      </c>
      <c r="I964" s="1">
        <v>4</v>
      </c>
      <c r="J964" s="2">
        <v>45441</v>
      </c>
      <c r="K964" s="2">
        <v>45599</v>
      </c>
      <c r="L964" s="2">
        <v>45388</v>
      </c>
      <c r="M964" t="s">
        <v>3388</v>
      </c>
      <c r="N964">
        <v>23</v>
      </c>
      <c r="O964">
        <v>85</v>
      </c>
      <c r="P964" t="s">
        <v>38</v>
      </c>
      <c r="Q964" t="str">
        <f t="shared" si="59"/>
        <v>Expiry before Received</v>
      </c>
      <c r="R964" s="3">
        <f t="shared" si="61"/>
        <v>116</v>
      </c>
      <c r="S964">
        <f t="shared" si="60"/>
        <v>10</v>
      </c>
      <c r="T964" t="str">
        <f t="shared" si="62"/>
        <v>Reorder Required</v>
      </c>
    </row>
    <row r="965" spans="1:20" x14ac:dyDescent="0.3">
      <c r="A965" t="s">
        <v>3389</v>
      </c>
      <c r="B965" t="s">
        <v>2288</v>
      </c>
      <c r="C965" t="s">
        <v>64</v>
      </c>
      <c r="D965" t="s">
        <v>3390</v>
      </c>
      <c r="E965" t="s">
        <v>100</v>
      </c>
      <c r="F965">
        <v>63</v>
      </c>
      <c r="G965">
        <v>62</v>
      </c>
      <c r="H965">
        <v>18</v>
      </c>
      <c r="I965" s="1">
        <v>0.2</v>
      </c>
      <c r="J965" s="2">
        <v>45399</v>
      </c>
      <c r="K965" s="2">
        <v>45384</v>
      </c>
      <c r="L965" s="2">
        <v>45601</v>
      </c>
      <c r="M965" t="s">
        <v>3391</v>
      </c>
      <c r="N965">
        <v>67</v>
      </c>
      <c r="O965">
        <v>17</v>
      </c>
      <c r="P965" t="s">
        <v>44</v>
      </c>
      <c r="Q965" t="str">
        <f t="shared" si="59"/>
        <v>Last Order before Received</v>
      </c>
      <c r="R965" s="3">
        <f t="shared" si="61"/>
        <v>12.600000000000001</v>
      </c>
      <c r="S965">
        <f t="shared" si="60"/>
        <v>0</v>
      </c>
      <c r="T965" t="str">
        <f t="shared" si="62"/>
        <v>Sufficient Stock</v>
      </c>
    </row>
    <row r="966" spans="1:20" x14ac:dyDescent="0.3">
      <c r="A966" t="s">
        <v>3392</v>
      </c>
      <c r="B966" t="s">
        <v>389</v>
      </c>
      <c r="C966" t="s">
        <v>47</v>
      </c>
      <c r="D966" t="s">
        <v>3393</v>
      </c>
      <c r="E966" t="s">
        <v>2042</v>
      </c>
      <c r="F966">
        <v>42</v>
      </c>
      <c r="G966">
        <v>69</v>
      </c>
      <c r="H966">
        <v>54</v>
      </c>
      <c r="I966" s="1">
        <v>1.2</v>
      </c>
      <c r="J966" s="2">
        <v>45676</v>
      </c>
      <c r="K966" s="2">
        <v>45357</v>
      </c>
      <c r="L966" s="2">
        <v>45352</v>
      </c>
      <c r="M966" t="s">
        <v>3394</v>
      </c>
      <c r="N966">
        <v>43</v>
      </c>
      <c r="O966">
        <v>96</v>
      </c>
      <c r="P966" t="s">
        <v>44</v>
      </c>
      <c r="Q966" t="str">
        <f t="shared" si="59"/>
        <v>Expiry before Received</v>
      </c>
      <c r="R966" s="3">
        <f t="shared" si="61"/>
        <v>50.4</v>
      </c>
      <c r="S966">
        <f t="shared" si="60"/>
        <v>27</v>
      </c>
      <c r="T966" t="str">
        <f t="shared" si="62"/>
        <v>Reorder Required</v>
      </c>
    </row>
    <row r="967" spans="1:20" x14ac:dyDescent="0.3">
      <c r="A967" t="s">
        <v>3395</v>
      </c>
      <c r="B967" t="s">
        <v>201</v>
      </c>
      <c r="C967" t="s">
        <v>47</v>
      </c>
      <c r="D967" t="s">
        <v>3396</v>
      </c>
      <c r="E967" t="s">
        <v>3063</v>
      </c>
      <c r="F967">
        <v>74</v>
      </c>
      <c r="G967">
        <v>4</v>
      </c>
      <c r="H967">
        <v>39</v>
      </c>
      <c r="I967" s="1">
        <v>2</v>
      </c>
      <c r="J967" s="2">
        <v>45652</v>
      </c>
      <c r="K967" s="2">
        <v>45387</v>
      </c>
      <c r="L967" s="2">
        <v>45511</v>
      </c>
      <c r="M967" t="s">
        <v>3397</v>
      </c>
      <c r="N967">
        <v>97</v>
      </c>
      <c r="O967">
        <v>24</v>
      </c>
      <c r="P967" t="s">
        <v>38</v>
      </c>
      <c r="Q967" t="str">
        <f t="shared" ref="Q967:Q991" si="63">IF(L967&lt;J967,"Expiry before Received",IF(K967&lt;J967,"Last Order before Received","OK"))</f>
        <v>Expiry before Received</v>
      </c>
      <c r="R967" s="3">
        <f t="shared" si="61"/>
        <v>148</v>
      </c>
      <c r="S967">
        <f t="shared" si="60"/>
        <v>0</v>
      </c>
      <c r="T967" t="str">
        <f t="shared" si="62"/>
        <v>Sufficient Stock</v>
      </c>
    </row>
    <row r="968" spans="1:20" x14ac:dyDescent="0.3">
      <c r="A968" t="s">
        <v>3398</v>
      </c>
      <c r="B968" t="s">
        <v>219</v>
      </c>
      <c r="C968" t="s">
        <v>22</v>
      </c>
      <c r="D968" t="s">
        <v>3399</v>
      </c>
      <c r="E968" t="s">
        <v>2254</v>
      </c>
      <c r="F968">
        <v>22</v>
      </c>
      <c r="G968">
        <v>77</v>
      </c>
      <c r="H968">
        <v>15</v>
      </c>
      <c r="I968" s="1">
        <v>3</v>
      </c>
      <c r="J968" s="2">
        <v>45393</v>
      </c>
      <c r="K968" s="2">
        <v>45441</v>
      </c>
      <c r="L968" s="2">
        <v>45502</v>
      </c>
      <c r="M968" t="s">
        <v>3400</v>
      </c>
      <c r="N968">
        <v>68</v>
      </c>
      <c r="O968">
        <v>46</v>
      </c>
      <c r="P968" t="s">
        <v>44</v>
      </c>
      <c r="Q968" t="str">
        <f t="shared" si="63"/>
        <v>OK</v>
      </c>
      <c r="R968" s="3">
        <f t="shared" si="61"/>
        <v>66</v>
      </c>
      <c r="S968">
        <f t="shared" si="60"/>
        <v>55</v>
      </c>
      <c r="T968" t="str">
        <f t="shared" si="62"/>
        <v>Reorder Required</v>
      </c>
    </row>
    <row r="969" spans="1:20" x14ac:dyDescent="0.3">
      <c r="A969" t="s">
        <v>3401</v>
      </c>
      <c r="B969" t="s">
        <v>2288</v>
      </c>
      <c r="C969" t="s">
        <v>64</v>
      </c>
      <c r="D969" t="s">
        <v>3402</v>
      </c>
      <c r="E969" t="s">
        <v>618</v>
      </c>
      <c r="F969">
        <v>83</v>
      </c>
      <c r="G969">
        <v>35</v>
      </c>
      <c r="H969">
        <v>43</v>
      </c>
      <c r="I969" s="1">
        <v>0.2</v>
      </c>
      <c r="J969" s="2">
        <v>45518</v>
      </c>
      <c r="K969" s="2">
        <v>45530</v>
      </c>
      <c r="L969" s="2">
        <v>45541</v>
      </c>
      <c r="M969" t="s">
        <v>3403</v>
      </c>
      <c r="N969">
        <v>94</v>
      </c>
      <c r="O969">
        <v>68</v>
      </c>
      <c r="P969" t="s">
        <v>26</v>
      </c>
      <c r="Q969" t="str">
        <f t="shared" si="63"/>
        <v>OK</v>
      </c>
      <c r="R969" s="3">
        <f t="shared" si="61"/>
        <v>16.600000000000001</v>
      </c>
      <c r="S969">
        <f t="shared" si="60"/>
        <v>0</v>
      </c>
      <c r="T969" t="str">
        <f t="shared" si="62"/>
        <v>Sufficient Stock</v>
      </c>
    </row>
    <row r="970" spans="1:20" x14ac:dyDescent="0.3">
      <c r="A970" t="s">
        <v>3404</v>
      </c>
      <c r="B970" t="s">
        <v>1468</v>
      </c>
      <c r="C970" t="s">
        <v>22</v>
      </c>
      <c r="D970" t="s">
        <v>3405</v>
      </c>
      <c r="E970" t="s">
        <v>240</v>
      </c>
      <c r="F970">
        <v>32</v>
      </c>
      <c r="G970">
        <v>91</v>
      </c>
      <c r="H970">
        <v>80</v>
      </c>
      <c r="I970" s="1">
        <v>10</v>
      </c>
      <c r="J970" s="2">
        <v>45583</v>
      </c>
      <c r="K970" s="2">
        <v>45532</v>
      </c>
      <c r="L970" s="2">
        <v>45673</v>
      </c>
      <c r="M970" t="s">
        <v>3406</v>
      </c>
      <c r="N970">
        <v>69</v>
      </c>
      <c r="O970">
        <v>80</v>
      </c>
      <c r="P970" t="s">
        <v>26</v>
      </c>
      <c r="Q970" t="str">
        <f t="shared" si="63"/>
        <v>Last Order before Received</v>
      </c>
      <c r="R970" s="3">
        <f t="shared" si="61"/>
        <v>320</v>
      </c>
      <c r="S970">
        <f t="shared" si="60"/>
        <v>59</v>
      </c>
      <c r="T970" t="str">
        <f t="shared" si="62"/>
        <v>Reorder Required</v>
      </c>
    </row>
    <row r="971" spans="1:20" x14ac:dyDescent="0.3">
      <c r="A971" t="s">
        <v>3407</v>
      </c>
      <c r="B971" t="s">
        <v>1234</v>
      </c>
      <c r="C971" t="s">
        <v>47</v>
      </c>
      <c r="D971" t="s">
        <v>3408</v>
      </c>
      <c r="E971" t="s">
        <v>2650</v>
      </c>
      <c r="F971">
        <v>84</v>
      </c>
      <c r="G971">
        <v>46</v>
      </c>
      <c r="H971">
        <v>80</v>
      </c>
      <c r="I971" s="1">
        <v>3.5</v>
      </c>
      <c r="J971" s="2">
        <v>45430</v>
      </c>
      <c r="K971" s="2">
        <v>45567</v>
      </c>
      <c r="L971" s="2">
        <v>45650</v>
      </c>
      <c r="M971" t="s">
        <v>3409</v>
      </c>
      <c r="N971">
        <v>66</v>
      </c>
      <c r="O971">
        <v>84</v>
      </c>
      <c r="P971" t="s">
        <v>26</v>
      </c>
      <c r="Q971" t="str">
        <f t="shared" si="63"/>
        <v>OK</v>
      </c>
      <c r="R971" s="3">
        <f t="shared" si="61"/>
        <v>294</v>
      </c>
      <c r="S971">
        <f t="shared" si="60"/>
        <v>0</v>
      </c>
      <c r="T971" t="str">
        <f t="shared" si="62"/>
        <v>Sufficient Stock</v>
      </c>
    </row>
    <row r="972" spans="1:20" x14ac:dyDescent="0.3">
      <c r="A972" t="s">
        <v>3410</v>
      </c>
      <c r="B972" t="s">
        <v>46</v>
      </c>
      <c r="C972" t="s">
        <v>47</v>
      </c>
      <c r="D972" t="s">
        <v>3411</v>
      </c>
      <c r="E972" t="s">
        <v>1454</v>
      </c>
      <c r="F972">
        <v>22</v>
      </c>
      <c r="G972">
        <v>56</v>
      </c>
      <c r="H972">
        <v>72</v>
      </c>
      <c r="I972" s="1">
        <v>4</v>
      </c>
      <c r="J972" s="2">
        <v>45391</v>
      </c>
      <c r="K972" s="2">
        <v>45451</v>
      </c>
      <c r="L972" s="2">
        <v>45629</v>
      </c>
      <c r="M972" t="s">
        <v>3412</v>
      </c>
      <c r="N972">
        <v>70</v>
      </c>
      <c r="O972">
        <v>39</v>
      </c>
      <c r="P972" t="s">
        <v>26</v>
      </c>
      <c r="Q972" t="str">
        <f t="shared" si="63"/>
        <v>OK</v>
      </c>
      <c r="R972" s="3">
        <f t="shared" si="61"/>
        <v>88</v>
      </c>
      <c r="S972">
        <f t="shared" si="60"/>
        <v>34</v>
      </c>
      <c r="T972" t="str">
        <f t="shared" si="62"/>
        <v>Reorder Required</v>
      </c>
    </row>
    <row r="973" spans="1:20" x14ac:dyDescent="0.3">
      <c r="A973" t="s">
        <v>3413</v>
      </c>
      <c r="B973" t="s">
        <v>402</v>
      </c>
      <c r="C973" t="s">
        <v>47</v>
      </c>
      <c r="D973" t="s">
        <v>3414</v>
      </c>
      <c r="E973" t="s">
        <v>1789</v>
      </c>
      <c r="F973">
        <v>100</v>
      </c>
      <c r="G973">
        <v>52</v>
      </c>
      <c r="H973">
        <v>2</v>
      </c>
      <c r="I973" s="1">
        <v>3</v>
      </c>
      <c r="J973" s="2">
        <v>45359</v>
      </c>
      <c r="K973" s="2">
        <v>45625</v>
      </c>
      <c r="L973" s="2">
        <v>45582</v>
      </c>
      <c r="M973" t="s">
        <v>3415</v>
      </c>
      <c r="N973">
        <v>86</v>
      </c>
      <c r="O973">
        <v>70</v>
      </c>
      <c r="P973" t="s">
        <v>38</v>
      </c>
      <c r="Q973" t="str">
        <f t="shared" si="63"/>
        <v>OK</v>
      </c>
      <c r="R973" s="3">
        <f t="shared" si="61"/>
        <v>300</v>
      </c>
      <c r="S973">
        <f t="shared" si="60"/>
        <v>0</v>
      </c>
      <c r="T973" t="str">
        <f t="shared" si="62"/>
        <v>Sufficient Stock</v>
      </c>
    </row>
    <row r="974" spans="1:20" x14ac:dyDescent="0.3">
      <c r="A974" t="s">
        <v>3416</v>
      </c>
      <c r="B974" t="s">
        <v>719</v>
      </c>
      <c r="C974" t="s">
        <v>64</v>
      </c>
      <c r="D974" t="s">
        <v>3417</v>
      </c>
      <c r="E974" t="s">
        <v>2564</v>
      </c>
      <c r="F974">
        <v>36</v>
      </c>
      <c r="G974">
        <v>77</v>
      </c>
      <c r="H974">
        <v>49</v>
      </c>
      <c r="I974" s="1">
        <v>9</v>
      </c>
      <c r="J974" s="2">
        <v>45392</v>
      </c>
      <c r="K974" s="2">
        <v>45589</v>
      </c>
      <c r="L974" s="2">
        <v>45697</v>
      </c>
      <c r="M974" t="s">
        <v>3418</v>
      </c>
      <c r="N974">
        <v>30</v>
      </c>
      <c r="O974">
        <v>84</v>
      </c>
      <c r="P974" t="s">
        <v>44</v>
      </c>
      <c r="Q974" t="str">
        <f t="shared" si="63"/>
        <v>OK</v>
      </c>
      <c r="R974" s="3">
        <f t="shared" si="61"/>
        <v>324</v>
      </c>
      <c r="S974">
        <f t="shared" si="60"/>
        <v>41</v>
      </c>
      <c r="T974" t="str">
        <f t="shared" si="62"/>
        <v>Reorder Required</v>
      </c>
    </row>
    <row r="975" spans="1:20" x14ac:dyDescent="0.3">
      <c r="A975" t="s">
        <v>3419</v>
      </c>
      <c r="B975" t="s">
        <v>1166</v>
      </c>
      <c r="C975" t="s">
        <v>132</v>
      </c>
      <c r="D975" t="s">
        <v>3420</v>
      </c>
      <c r="E975" t="s">
        <v>914</v>
      </c>
      <c r="F975">
        <v>14</v>
      </c>
      <c r="G975">
        <v>67</v>
      </c>
      <c r="H975">
        <v>65</v>
      </c>
      <c r="I975" s="1">
        <v>20</v>
      </c>
      <c r="J975" s="2">
        <v>45365</v>
      </c>
      <c r="K975" s="2">
        <v>45584</v>
      </c>
      <c r="L975" s="2">
        <v>45584</v>
      </c>
      <c r="M975" t="s">
        <v>3421</v>
      </c>
      <c r="N975">
        <v>71</v>
      </c>
      <c r="O975">
        <v>94</v>
      </c>
      <c r="P975" t="s">
        <v>26</v>
      </c>
      <c r="Q975" t="str">
        <f t="shared" si="63"/>
        <v>OK</v>
      </c>
      <c r="R975" s="3">
        <f t="shared" si="61"/>
        <v>280</v>
      </c>
      <c r="S975">
        <f t="shared" si="60"/>
        <v>53</v>
      </c>
      <c r="T975" t="str">
        <f t="shared" si="62"/>
        <v>Reorder Required</v>
      </c>
    </row>
    <row r="976" spans="1:20" x14ac:dyDescent="0.3">
      <c r="A976" t="s">
        <v>3422</v>
      </c>
      <c r="B976" t="s">
        <v>83</v>
      </c>
      <c r="C976" t="s">
        <v>22</v>
      </c>
      <c r="D976" t="s">
        <v>3423</v>
      </c>
      <c r="E976" t="s">
        <v>2757</v>
      </c>
      <c r="F976">
        <v>38</v>
      </c>
      <c r="G976">
        <v>82</v>
      </c>
      <c r="H976">
        <v>17</v>
      </c>
      <c r="I976" s="1">
        <v>2</v>
      </c>
      <c r="J976" s="2">
        <v>45655</v>
      </c>
      <c r="K976" s="2">
        <v>45372</v>
      </c>
      <c r="L976" s="2">
        <v>45510</v>
      </c>
      <c r="M976" t="s">
        <v>3424</v>
      </c>
      <c r="N976">
        <v>52</v>
      </c>
      <c r="O976">
        <v>47</v>
      </c>
      <c r="P976" t="s">
        <v>26</v>
      </c>
      <c r="Q976" t="str">
        <f t="shared" si="63"/>
        <v>Expiry before Received</v>
      </c>
      <c r="R976" s="3">
        <f t="shared" si="61"/>
        <v>76</v>
      </c>
      <c r="S976">
        <f t="shared" si="60"/>
        <v>44</v>
      </c>
      <c r="T976" t="str">
        <f t="shared" si="62"/>
        <v>Reorder Required</v>
      </c>
    </row>
    <row r="977" spans="1:20" x14ac:dyDescent="0.3">
      <c r="A977" t="s">
        <v>3425</v>
      </c>
      <c r="B977" t="s">
        <v>354</v>
      </c>
      <c r="C977" t="s">
        <v>47</v>
      </c>
      <c r="D977" t="s">
        <v>3426</v>
      </c>
      <c r="E977" t="s">
        <v>360</v>
      </c>
      <c r="F977">
        <v>97</v>
      </c>
      <c r="G977">
        <v>52</v>
      </c>
      <c r="H977">
        <v>80</v>
      </c>
      <c r="I977" s="1">
        <v>3</v>
      </c>
      <c r="J977" s="2">
        <v>45676</v>
      </c>
      <c r="K977" s="2">
        <v>45490</v>
      </c>
      <c r="L977" s="2">
        <v>45578</v>
      </c>
      <c r="M977" t="s">
        <v>3427</v>
      </c>
      <c r="N977">
        <v>22</v>
      </c>
      <c r="O977">
        <v>90</v>
      </c>
      <c r="P977" t="s">
        <v>38</v>
      </c>
      <c r="Q977" t="str">
        <f t="shared" si="63"/>
        <v>Expiry before Received</v>
      </c>
      <c r="R977" s="3">
        <f t="shared" si="61"/>
        <v>291</v>
      </c>
      <c r="S977">
        <f t="shared" si="60"/>
        <v>0</v>
      </c>
      <c r="T977" t="str">
        <f t="shared" si="62"/>
        <v>Sufficient Stock</v>
      </c>
    </row>
    <row r="978" spans="1:20" x14ac:dyDescent="0.3">
      <c r="A978" t="s">
        <v>3428</v>
      </c>
      <c r="B978" t="s">
        <v>672</v>
      </c>
      <c r="C978" t="s">
        <v>29</v>
      </c>
      <c r="D978" t="s">
        <v>3429</v>
      </c>
      <c r="E978" t="s">
        <v>999</v>
      </c>
      <c r="F978">
        <v>64</v>
      </c>
      <c r="G978">
        <v>66</v>
      </c>
      <c r="H978">
        <v>28</v>
      </c>
      <c r="I978" s="1">
        <v>8</v>
      </c>
      <c r="J978" s="2">
        <v>45440</v>
      </c>
      <c r="K978" s="2">
        <v>45671</v>
      </c>
      <c r="L978" s="2">
        <v>45523</v>
      </c>
      <c r="M978" t="s">
        <v>3430</v>
      </c>
      <c r="N978">
        <v>25</v>
      </c>
      <c r="O978">
        <v>52</v>
      </c>
      <c r="P978" t="s">
        <v>26</v>
      </c>
      <c r="Q978" t="str">
        <f t="shared" si="63"/>
        <v>OK</v>
      </c>
      <c r="R978" s="3">
        <f t="shared" si="61"/>
        <v>512</v>
      </c>
      <c r="S978">
        <f t="shared" si="60"/>
        <v>2</v>
      </c>
      <c r="T978" t="str">
        <f t="shared" si="62"/>
        <v>Reorder Required</v>
      </c>
    </row>
    <row r="979" spans="1:20" x14ac:dyDescent="0.3">
      <c r="A979" t="s">
        <v>3431</v>
      </c>
      <c r="B979" t="s">
        <v>881</v>
      </c>
      <c r="C979" t="s">
        <v>47</v>
      </c>
      <c r="D979" t="s">
        <v>3432</v>
      </c>
      <c r="E979" t="s">
        <v>1439</v>
      </c>
      <c r="F979">
        <v>14</v>
      </c>
      <c r="G979">
        <v>75</v>
      </c>
      <c r="H979">
        <v>19</v>
      </c>
      <c r="I979" s="1">
        <v>1.9</v>
      </c>
      <c r="J979" s="2">
        <v>45650</v>
      </c>
      <c r="K979" s="2">
        <v>45423</v>
      </c>
      <c r="L979" s="2">
        <v>45355</v>
      </c>
      <c r="M979" t="s">
        <v>3433</v>
      </c>
      <c r="N979">
        <v>100</v>
      </c>
      <c r="O979">
        <v>84</v>
      </c>
      <c r="P979" t="s">
        <v>38</v>
      </c>
      <c r="Q979" t="str">
        <f t="shared" si="63"/>
        <v>Expiry before Received</v>
      </c>
      <c r="R979" s="3">
        <f t="shared" si="61"/>
        <v>26.599999999999998</v>
      </c>
      <c r="S979">
        <f t="shared" si="60"/>
        <v>61</v>
      </c>
      <c r="T979" t="str">
        <f t="shared" si="62"/>
        <v>Reorder Required</v>
      </c>
    </row>
    <row r="980" spans="1:20" x14ac:dyDescent="0.3">
      <c r="A980" t="s">
        <v>3434</v>
      </c>
      <c r="B980" t="s">
        <v>603</v>
      </c>
      <c r="C980" t="s">
        <v>58</v>
      </c>
      <c r="D980" t="s">
        <v>3435</v>
      </c>
      <c r="E980" t="s">
        <v>840</v>
      </c>
      <c r="F980">
        <v>24</v>
      </c>
      <c r="G980">
        <v>89</v>
      </c>
      <c r="H980">
        <v>27</v>
      </c>
      <c r="I980" s="1">
        <v>10</v>
      </c>
      <c r="J980" s="2">
        <v>45392</v>
      </c>
      <c r="K980" s="2">
        <v>45580</v>
      </c>
      <c r="L980" s="2">
        <v>45379</v>
      </c>
      <c r="M980" t="s">
        <v>3436</v>
      </c>
      <c r="N980">
        <v>99</v>
      </c>
      <c r="O980">
        <v>1</v>
      </c>
      <c r="P980" t="s">
        <v>26</v>
      </c>
      <c r="Q980" t="str">
        <f t="shared" si="63"/>
        <v>Expiry before Received</v>
      </c>
      <c r="R980" s="3">
        <f t="shared" si="61"/>
        <v>240</v>
      </c>
      <c r="S980">
        <f t="shared" si="60"/>
        <v>65</v>
      </c>
      <c r="T980" t="str">
        <f t="shared" si="62"/>
        <v>Reorder Required</v>
      </c>
    </row>
    <row r="981" spans="1:20" x14ac:dyDescent="0.3">
      <c r="A981" t="s">
        <v>3437</v>
      </c>
      <c r="B981" t="s">
        <v>508</v>
      </c>
      <c r="C981" t="s">
        <v>132</v>
      </c>
      <c r="D981" t="s">
        <v>3438</v>
      </c>
      <c r="E981" t="s">
        <v>1048</v>
      </c>
      <c r="F981">
        <v>100</v>
      </c>
      <c r="G981">
        <v>61</v>
      </c>
      <c r="H981">
        <v>21</v>
      </c>
      <c r="I981" s="1">
        <v>7</v>
      </c>
      <c r="J981" s="2">
        <v>45556</v>
      </c>
      <c r="K981" s="2">
        <v>45651</v>
      </c>
      <c r="L981" s="2">
        <v>45430</v>
      </c>
      <c r="M981" t="s">
        <v>3439</v>
      </c>
      <c r="N981">
        <v>85</v>
      </c>
      <c r="O981">
        <v>79</v>
      </c>
      <c r="P981" t="s">
        <v>38</v>
      </c>
      <c r="Q981" t="str">
        <f t="shared" si="63"/>
        <v>Expiry before Received</v>
      </c>
      <c r="R981" s="3">
        <f t="shared" si="61"/>
        <v>700</v>
      </c>
      <c r="S981">
        <f t="shared" si="60"/>
        <v>0</v>
      </c>
      <c r="T981" t="str">
        <f t="shared" si="62"/>
        <v>Sufficient Stock</v>
      </c>
    </row>
    <row r="982" spans="1:20" x14ac:dyDescent="0.3">
      <c r="A982" t="s">
        <v>3440</v>
      </c>
      <c r="B982" t="s">
        <v>467</v>
      </c>
      <c r="C982" t="s">
        <v>22</v>
      </c>
      <c r="D982" t="s">
        <v>3441</v>
      </c>
      <c r="E982" t="s">
        <v>1352</v>
      </c>
      <c r="F982">
        <v>62</v>
      </c>
      <c r="G982">
        <v>36</v>
      </c>
      <c r="H982">
        <v>96</v>
      </c>
      <c r="I982" s="1">
        <v>4.75</v>
      </c>
      <c r="J982" s="2">
        <v>45385</v>
      </c>
      <c r="K982" s="2">
        <v>45392</v>
      </c>
      <c r="L982" s="2">
        <v>45439</v>
      </c>
      <c r="M982" t="s">
        <v>3442</v>
      </c>
      <c r="N982">
        <v>31</v>
      </c>
      <c r="O982">
        <v>25</v>
      </c>
      <c r="P982" t="s">
        <v>26</v>
      </c>
      <c r="Q982" t="str">
        <f t="shared" si="63"/>
        <v>OK</v>
      </c>
      <c r="R982" s="3">
        <f t="shared" si="61"/>
        <v>294.5</v>
      </c>
      <c r="S982">
        <f t="shared" si="60"/>
        <v>0</v>
      </c>
      <c r="T982" t="str">
        <f t="shared" si="62"/>
        <v>Sufficient Stock</v>
      </c>
    </row>
    <row r="983" spans="1:20" x14ac:dyDescent="0.3">
      <c r="A983" t="s">
        <v>3443</v>
      </c>
      <c r="B983" t="s">
        <v>828</v>
      </c>
      <c r="C983" t="s">
        <v>22</v>
      </c>
      <c r="D983" t="s">
        <v>3444</v>
      </c>
      <c r="E983" t="s">
        <v>279</v>
      </c>
      <c r="F983">
        <v>71</v>
      </c>
      <c r="G983">
        <v>60</v>
      </c>
      <c r="H983">
        <v>62</v>
      </c>
      <c r="I983" s="1">
        <v>4.5</v>
      </c>
      <c r="J983" s="2">
        <v>45531</v>
      </c>
      <c r="K983" s="2">
        <v>45376</v>
      </c>
      <c r="L983" s="2">
        <v>45365</v>
      </c>
      <c r="M983" t="s">
        <v>3445</v>
      </c>
      <c r="N983">
        <v>60</v>
      </c>
      <c r="O983">
        <v>63</v>
      </c>
      <c r="P983" t="s">
        <v>26</v>
      </c>
      <c r="Q983" t="str">
        <f t="shared" si="63"/>
        <v>Expiry before Received</v>
      </c>
      <c r="R983" s="3">
        <f t="shared" si="61"/>
        <v>319.5</v>
      </c>
      <c r="S983">
        <f t="shared" si="60"/>
        <v>0</v>
      </c>
      <c r="T983" t="str">
        <f t="shared" si="62"/>
        <v>Sufficient Stock</v>
      </c>
    </row>
    <row r="984" spans="1:20" x14ac:dyDescent="0.3">
      <c r="A984" t="s">
        <v>3446</v>
      </c>
      <c r="B984" t="s">
        <v>147</v>
      </c>
      <c r="C984" t="s">
        <v>64</v>
      </c>
      <c r="D984" t="s">
        <v>3447</v>
      </c>
      <c r="E984" t="s">
        <v>985</v>
      </c>
      <c r="F984">
        <v>38</v>
      </c>
      <c r="G984">
        <v>67</v>
      </c>
      <c r="H984">
        <v>66</v>
      </c>
      <c r="I984" s="1">
        <v>12</v>
      </c>
      <c r="J984" s="2">
        <v>45383</v>
      </c>
      <c r="K984" s="2">
        <v>45647</v>
      </c>
      <c r="L984" s="2">
        <v>45390</v>
      </c>
      <c r="M984" t="s">
        <v>3448</v>
      </c>
      <c r="N984">
        <v>35</v>
      </c>
      <c r="O984">
        <v>24</v>
      </c>
      <c r="P984" t="s">
        <v>26</v>
      </c>
      <c r="Q984" t="str">
        <f t="shared" si="63"/>
        <v>OK</v>
      </c>
      <c r="R984" s="3">
        <f t="shared" si="61"/>
        <v>456</v>
      </c>
      <c r="S984">
        <f t="shared" si="60"/>
        <v>29</v>
      </c>
      <c r="T984" t="str">
        <f t="shared" si="62"/>
        <v>Reorder Required</v>
      </c>
    </row>
    <row r="985" spans="1:20" x14ac:dyDescent="0.3">
      <c r="A985" t="s">
        <v>3449</v>
      </c>
      <c r="B985" t="s">
        <v>687</v>
      </c>
      <c r="C985" t="s">
        <v>22</v>
      </c>
      <c r="D985" t="s">
        <v>3450</v>
      </c>
      <c r="E985" t="s">
        <v>651</v>
      </c>
      <c r="F985">
        <v>88</v>
      </c>
      <c r="G985">
        <v>34</v>
      </c>
      <c r="H985">
        <v>94</v>
      </c>
      <c r="I985" s="1">
        <v>2.4</v>
      </c>
      <c r="J985" s="2">
        <v>45653</v>
      </c>
      <c r="K985" s="2">
        <v>45708</v>
      </c>
      <c r="L985" s="2">
        <v>45595</v>
      </c>
      <c r="M985" t="s">
        <v>3451</v>
      </c>
      <c r="N985">
        <v>95</v>
      </c>
      <c r="O985">
        <v>63</v>
      </c>
      <c r="P985" t="s">
        <v>44</v>
      </c>
      <c r="Q985" t="str">
        <f t="shared" si="63"/>
        <v>Expiry before Received</v>
      </c>
      <c r="R985" s="3">
        <f t="shared" si="61"/>
        <v>211.2</v>
      </c>
      <c r="S985">
        <f t="shared" si="60"/>
        <v>0</v>
      </c>
      <c r="T985" t="str">
        <f t="shared" si="62"/>
        <v>Sufficient Stock</v>
      </c>
    </row>
    <row r="986" spans="1:20" x14ac:dyDescent="0.3">
      <c r="A986" t="s">
        <v>3452</v>
      </c>
      <c r="B986" t="s">
        <v>265</v>
      </c>
      <c r="C986" t="s">
        <v>89</v>
      </c>
      <c r="D986" t="s">
        <v>3453</v>
      </c>
      <c r="E986" t="s">
        <v>1315</v>
      </c>
      <c r="F986">
        <v>40</v>
      </c>
      <c r="G986">
        <v>30</v>
      </c>
      <c r="H986">
        <v>65</v>
      </c>
      <c r="I986" s="1">
        <v>4.5</v>
      </c>
      <c r="J986" s="2">
        <v>45475</v>
      </c>
      <c r="K986" s="2">
        <v>45370</v>
      </c>
      <c r="L986" s="2">
        <v>45426</v>
      </c>
      <c r="M986" t="s">
        <v>3454</v>
      </c>
      <c r="N986">
        <v>54</v>
      </c>
      <c r="O986">
        <v>29</v>
      </c>
      <c r="P986" t="s">
        <v>44</v>
      </c>
      <c r="Q986" t="str">
        <f t="shared" si="63"/>
        <v>Expiry before Received</v>
      </c>
      <c r="R986" s="3">
        <f t="shared" si="61"/>
        <v>180</v>
      </c>
      <c r="S986">
        <f t="shared" si="60"/>
        <v>0</v>
      </c>
      <c r="T986" t="str">
        <f t="shared" si="62"/>
        <v>Sufficient Stock</v>
      </c>
    </row>
    <row r="987" spans="1:20" x14ac:dyDescent="0.3">
      <c r="A987" t="s">
        <v>3455</v>
      </c>
      <c r="B987" t="s">
        <v>126</v>
      </c>
      <c r="C987" t="s">
        <v>47</v>
      </c>
      <c r="D987" t="s">
        <v>3456</v>
      </c>
      <c r="E987" t="s">
        <v>452</v>
      </c>
      <c r="F987">
        <v>88</v>
      </c>
      <c r="G987">
        <v>78</v>
      </c>
      <c r="H987">
        <v>17</v>
      </c>
      <c r="I987" s="1">
        <v>2.5</v>
      </c>
      <c r="J987" s="2">
        <v>45541</v>
      </c>
      <c r="K987" s="2">
        <v>45654</v>
      </c>
      <c r="L987" s="2">
        <v>45600</v>
      </c>
      <c r="M987" t="s">
        <v>3457</v>
      </c>
      <c r="N987">
        <v>58</v>
      </c>
      <c r="O987">
        <v>21</v>
      </c>
      <c r="P987" t="s">
        <v>44</v>
      </c>
      <c r="Q987" t="str">
        <f t="shared" si="63"/>
        <v>OK</v>
      </c>
      <c r="R987" s="3">
        <f t="shared" si="61"/>
        <v>220</v>
      </c>
      <c r="S987">
        <f t="shared" si="60"/>
        <v>0</v>
      </c>
      <c r="T987" t="str">
        <f t="shared" si="62"/>
        <v>Sufficient Stock</v>
      </c>
    </row>
    <row r="988" spans="1:20" x14ac:dyDescent="0.3">
      <c r="A988" t="s">
        <v>3458</v>
      </c>
      <c r="B988" t="s">
        <v>719</v>
      </c>
      <c r="C988" t="s">
        <v>64</v>
      </c>
      <c r="D988" t="s">
        <v>3459</v>
      </c>
      <c r="E988" t="s">
        <v>3460</v>
      </c>
      <c r="F988">
        <v>60</v>
      </c>
      <c r="G988">
        <v>9</v>
      </c>
      <c r="H988">
        <v>89</v>
      </c>
      <c r="I988" s="1">
        <v>9</v>
      </c>
      <c r="J988" s="2">
        <v>45444</v>
      </c>
      <c r="K988" s="2">
        <v>45445</v>
      </c>
      <c r="L988" s="2">
        <v>45570</v>
      </c>
      <c r="M988" t="s">
        <v>3461</v>
      </c>
      <c r="N988">
        <v>95</v>
      </c>
      <c r="O988">
        <v>63</v>
      </c>
      <c r="P988" t="s">
        <v>44</v>
      </c>
      <c r="Q988" t="str">
        <f t="shared" si="63"/>
        <v>OK</v>
      </c>
      <c r="R988" s="3">
        <f t="shared" si="61"/>
        <v>540</v>
      </c>
      <c r="S988">
        <f t="shared" si="60"/>
        <v>0</v>
      </c>
      <c r="T988" t="str">
        <f t="shared" si="62"/>
        <v>Sufficient Stock</v>
      </c>
    </row>
    <row r="989" spans="1:20" x14ac:dyDescent="0.3">
      <c r="A989" t="s">
        <v>3462</v>
      </c>
      <c r="B989" t="s">
        <v>142</v>
      </c>
      <c r="C989" t="s">
        <v>47</v>
      </c>
      <c r="D989" t="s">
        <v>3463</v>
      </c>
      <c r="E989" t="s">
        <v>2199</v>
      </c>
      <c r="F989">
        <v>94</v>
      </c>
      <c r="G989">
        <v>90</v>
      </c>
      <c r="H989">
        <v>12</v>
      </c>
      <c r="I989" s="1">
        <v>0.9</v>
      </c>
      <c r="J989" s="2">
        <v>45568</v>
      </c>
      <c r="K989" s="2">
        <v>45589</v>
      </c>
      <c r="L989" s="2">
        <v>45597</v>
      </c>
      <c r="M989" t="s">
        <v>3464</v>
      </c>
      <c r="N989">
        <v>98</v>
      </c>
      <c r="O989">
        <v>71</v>
      </c>
      <c r="P989" t="s">
        <v>44</v>
      </c>
      <c r="Q989" t="str">
        <f t="shared" si="63"/>
        <v>OK</v>
      </c>
      <c r="R989" s="3">
        <f t="shared" si="61"/>
        <v>84.600000000000009</v>
      </c>
      <c r="S989">
        <f t="shared" si="60"/>
        <v>0</v>
      </c>
      <c r="T989" t="str">
        <f t="shared" si="62"/>
        <v>Sufficient Stock</v>
      </c>
    </row>
    <row r="990" spans="1:20" x14ac:dyDescent="0.3">
      <c r="A990" t="s">
        <v>3465</v>
      </c>
      <c r="B990" t="s">
        <v>603</v>
      </c>
      <c r="C990" t="s">
        <v>58</v>
      </c>
      <c r="D990" t="s">
        <v>3466</v>
      </c>
      <c r="E990" t="s">
        <v>346</v>
      </c>
      <c r="F990">
        <v>30</v>
      </c>
      <c r="G990">
        <v>48</v>
      </c>
      <c r="H990">
        <v>52</v>
      </c>
      <c r="I990" s="1">
        <v>10</v>
      </c>
      <c r="J990" s="2">
        <v>45454</v>
      </c>
      <c r="K990" s="2">
        <v>45633</v>
      </c>
      <c r="L990" s="2">
        <v>45412</v>
      </c>
      <c r="M990" t="s">
        <v>3467</v>
      </c>
      <c r="N990">
        <v>22</v>
      </c>
      <c r="O990">
        <v>78</v>
      </c>
      <c r="P990" t="s">
        <v>44</v>
      </c>
      <c r="Q990" t="str">
        <f t="shared" si="63"/>
        <v>Expiry before Received</v>
      </c>
      <c r="R990" s="3">
        <f t="shared" si="61"/>
        <v>300</v>
      </c>
      <c r="S990">
        <f t="shared" si="60"/>
        <v>18</v>
      </c>
      <c r="T990" t="str">
        <f t="shared" si="62"/>
        <v>Reorder Required</v>
      </c>
    </row>
    <row r="991" spans="1:20" x14ac:dyDescent="0.3">
      <c r="A991" t="s">
        <v>3468</v>
      </c>
      <c r="B991" t="s">
        <v>1205</v>
      </c>
      <c r="C991" t="s">
        <v>47</v>
      </c>
      <c r="D991" t="s">
        <v>3469</v>
      </c>
      <c r="E991" t="s">
        <v>2325</v>
      </c>
      <c r="F991">
        <v>19</v>
      </c>
      <c r="G991">
        <v>28</v>
      </c>
      <c r="H991">
        <v>83</v>
      </c>
      <c r="I991" s="1">
        <v>4.5</v>
      </c>
      <c r="J991" s="2">
        <v>45622</v>
      </c>
      <c r="K991" s="2">
        <v>45352</v>
      </c>
      <c r="L991" s="2">
        <v>45531</v>
      </c>
      <c r="M991" t="s">
        <v>3470</v>
      </c>
      <c r="N991">
        <v>91</v>
      </c>
      <c r="O991">
        <v>73</v>
      </c>
      <c r="P991" t="s">
        <v>26</v>
      </c>
      <c r="Q991" t="str">
        <f t="shared" si="63"/>
        <v>Expiry before Received</v>
      </c>
      <c r="R991" s="3">
        <f t="shared" si="61"/>
        <v>85.5</v>
      </c>
      <c r="S991">
        <f t="shared" si="60"/>
        <v>9</v>
      </c>
      <c r="T991" t="str">
        <f t="shared" si="62"/>
        <v>Reorder Required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Zaid</dc:creator>
  <cp:lastModifiedBy>Prince Zaid</cp:lastModifiedBy>
  <dcterms:created xsi:type="dcterms:W3CDTF">2026-10-08T08:50:33Z</dcterms:created>
  <dcterms:modified xsi:type="dcterms:W3CDTF">2026-10-08T08:50:53Z</dcterms:modified>
</cp:coreProperties>
</file>